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QuantIsNotReal\"/>
    </mc:Choice>
  </mc:AlternateContent>
  <xr:revisionPtr revIDLastSave="0" documentId="13_ncr:1_{1D2F3E54-8E47-4116-83BC-DCC932813C7D}" xr6:coauthVersionLast="47" xr6:coauthVersionMax="47" xr10:uidLastSave="{00000000-0000-0000-0000-000000000000}"/>
  <bookViews>
    <workbookView xWindow="2595" yWindow="3375" windowWidth="21600" windowHeight="11385" activeTab="3" xr2:uid="{00000000-000D-0000-FFFF-FFFF00000000}"/>
  </bookViews>
  <sheets>
    <sheet name="Trade Log" sheetId="1" r:id="rId1"/>
    <sheet name="Dashboard" sheetId="2" r:id="rId2"/>
    <sheet name="Settings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5" i="2"/>
  <c r="T301" i="1"/>
  <c r="S301" i="1"/>
  <c r="R301" i="1"/>
  <c r="O301" i="1"/>
  <c r="N301" i="1"/>
  <c r="M301" i="1"/>
  <c r="B301" i="1"/>
  <c r="A301" i="1"/>
  <c r="W300" i="1"/>
  <c r="X300" i="1" s="1"/>
  <c r="T300" i="1"/>
  <c r="S300" i="1"/>
  <c r="R300" i="1"/>
  <c r="O300" i="1"/>
  <c r="N300" i="1"/>
  <c r="M300" i="1"/>
  <c r="B300" i="1"/>
  <c r="A300" i="1"/>
  <c r="W299" i="1"/>
  <c r="X299" i="1" s="1"/>
  <c r="T299" i="1"/>
  <c r="S299" i="1"/>
  <c r="R299" i="1"/>
  <c r="P299" i="1"/>
  <c r="V299" i="1" s="1"/>
  <c r="O299" i="1"/>
  <c r="N299" i="1"/>
  <c r="M299" i="1"/>
  <c r="B299" i="1"/>
  <c r="L299" i="1" s="1"/>
  <c r="A299" i="1"/>
  <c r="T298" i="1"/>
  <c r="S298" i="1"/>
  <c r="R298" i="1"/>
  <c r="O298" i="1"/>
  <c r="N298" i="1"/>
  <c r="M298" i="1"/>
  <c r="B298" i="1"/>
  <c r="A298" i="1"/>
  <c r="T297" i="1"/>
  <c r="S297" i="1"/>
  <c r="R297" i="1"/>
  <c r="P297" i="1"/>
  <c r="O297" i="1"/>
  <c r="N297" i="1"/>
  <c r="M297" i="1"/>
  <c r="B297" i="1"/>
  <c r="A297" i="1"/>
  <c r="T296" i="1"/>
  <c r="S296" i="1"/>
  <c r="R296" i="1"/>
  <c r="O296" i="1"/>
  <c r="N296" i="1"/>
  <c r="M296" i="1"/>
  <c r="B296" i="1"/>
  <c r="A296" i="1"/>
  <c r="W295" i="1"/>
  <c r="X295" i="1" s="1"/>
  <c r="V295" i="1"/>
  <c r="U295" i="1"/>
  <c r="T295" i="1"/>
  <c r="S295" i="1"/>
  <c r="R295" i="1"/>
  <c r="Q295" i="1"/>
  <c r="P295" i="1"/>
  <c r="O295" i="1"/>
  <c r="N295" i="1"/>
  <c r="M295" i="1"/>
  <c r="B295" i="1"/>
  <c r="L295" i="1" s="1"/>
  <c r="A295" i="1"/>
  <c r="T294" i="1"/>
  <c r="S294" i="1"/>
  <c r="R294" i="1"/>
  <c r="O294" i="1"/>
  <c r="N294" i="1"/>
  <c r="M294" i="1"/>
  <c r="B294" i="1"/>
  <c r="A294" i="1"/>
  <c r="T293" i="1"/>
  <c r="S293" i="1"/>
  <c r="R293" i="1"/>
  <c r="O293" i="1"/>
  <c r="N293" i="1"/>
  <c r="M293" i="1"/>
  <c r="B293" i="1"/>
  <c r="A293" i="1"/>
  <c r="T292" i="1"/>
  <c r="S292" i="1"/>
  <c r="R292" i="1"/>
  <c r="O292" i="1"/>
  <c r="N292" i="1"/>
  <c r="M292" i="1"/>
  <c r="B292" i="1"/>
  <c r="A292" i="1"/>
  <c r="W291" i="1"/>
  <c r="X291" i="1" s="1"/>
  <c r="T291" i="1"/>
  <c r="S291" i="1"/>
  <c r="R291" i="1"/>
  <c r="P291" i="1"/>
  <c r="V291" i="1" s="1"/>
  <c r="O291" i="1"/>
  <c r="N291" i="1"/>
  <c r="M291" i="1"/>
  <c r="B291" i="1"/>
  <c r="L291" i="1" s="1"/>
  <c r="A291" i="1"/>
  <c r="U290" i="1"/>
  <c r="T290" i="1"/>
  <c r="S290" i="1"/>
  <c r="R290" i="1"/>
  <c r="P290" i="1"/>
  <c r="Q290" i="1" s="1"/>
  <c r="O290" i="1"/>
  <c r="N290" i="1"/>
  <c r="M290" i="1"/>
  <c r="B290" i="1"/>
  <c r="A290" i="1"/>
  <c r="T289" i="1"/>
  <c r="S289" i="1"/>
  <c r="R289" i="1"/>
  <c r="O289" i="1"/>
  <c r="N289" i="1"/>
  <c r="M289" i="1"/>
  <c r="B289" i="1"/>
  <c r="A289" i="1"/>
  <c r="X288" i="1"/>
  <c r="W288" i="1"/>
  <c r="T288" i="1"/>
  <c r="S288" i="1"/>
  <c r="R288" i="1"/>
  <c r="O288" i="1"/>
  <c r="N288" i="1"/>
  <c r="M288" i="1"/>
  <c r="B288" i="1"/>
  <c r="A288" i="1"/>
  <c r="W287" i="1"/>
  <c r="X287" i="1" s="1"/>
  <c r="T287" i="1"/>
  <c r="S287" i="1"/>
  <c r="R287" i="1"/>
  <c r="P287" i="1"/>
  <c r="V287" i="1" s="1"/>
  <c r="O287" i="1"/>
  <c r="N287" i="1"/>
  <c r="M287" i="1"/>
  <c r="B287" i="1"/>
  <c r="L287" i="1" s="1"/>
  <c r="A287" i="1"/>
  <c r="T286" i="1"/>
  <c r="S286" i="1"/>
  <c r="R286" i="1"/>
  <c r="O286" i="1"/>
  <c r="N286" i="1"/>
  <c r="M286" i="1"/>
  <c r="B286" i="1"/>
  <c r="A286" i="1"/>
  <c r="T285" i="1"/>
  <c r="S285" i="1"/>
  <c r="R285" i="1"/>
  <c r="P285" i="1"/>
  <c r="O285" i="1"/>
  <c r="N285" i="1"/>
  <c r="M285" i="1"/>
  <c r="B285" i="1"/>
  <c r="A285" i="1"/>
  <c r="T284" i="1"/>
  <c r="S284" i="1"/>
  <c r="R284" i="1"/>
  <c r="O284" i="1"/>
  <c r="N284" i="1"/>
  <c r="M284" i="1"/>
  <c r="B284" i="1"/>
  <c r="A284" i="1"/>
  <c r="W283" i="1"/>
  <c r="X283" i="1" s="1"/>
  <c r="V283" i="1"/>
  <c r="U283" i="1"/>
  <c r="T283" i="1"/>
  <c r="S283" i="1"/>
  <c r="R283" i="1"/>
  <c r="P283" i="1"/>
  <c r="Q283" i="1" s="1"/>
  <c r="O283" i="1"/>
  <c r="N283" i="1"/>
  <c r="M283" i="1"/>
  <c r="B283" i="1"/>
  <c r="L283" i="1" s="1"/>
  <c r="A283" i="1"/>
  <c r="T282" i="1"/>
  <c r="S282" i="1"/>
  <c r="R282" i="1"/>
  <c r="O282" i="1"/>
  <c r="N282" i="1"/>
  <c r="M282" i="1"/>
  <c r="L282" i="1"/>
  <c r="B282" i="1"/>
  <c r="A282" i="1"/>
  <c r="T281" i="1"/>
  <c r="S281" i="1"/>
  <c r="R281" i="1"/>
  <c r="O281" i="1"/>
  <c r="N281" i="1"/>
  <c r="M281" i="1"/>
  <c r="B281" i="1"/>
  <c r="A281" i="1"/>
  <c r="W280" i="1"/>
  <c r="X280" i="1" s="1"/>
  <c r="T280" i="1"/>
  <c r="S280" i="1"/>
  <c r="R280" i="1"/>
  <c r="O280" i="1"/>
  <c r="N280" i="1"/>
  <c r="M280" i="1"/>
  <c r="B280" i="1"/>
  <c r="A280" i="1"/>
  <c r="W279" i="1"/>
  <c r="X279" i="1" s="1"/>
  <c r="T279" i="1"/>
  <c r="S279" i="1"/>
  <c r="R279" i="1"/>
  <c r="P279" i="1"/>
  <c r="V279" i="1" s="1"/>
  <c r="O279" i="1"/>
  <c r="N279" i="1"/>
  <c r="M279" i="1"/>
  <c r="B279" i="1"/>
  <c r="L279" i="1" s="1"/>
  <c r="A279" i="1"/>
  <c r="T278" i="1"/>
  <c r="S278" i="1"/>
  <c r="R278" i="1"/>
  <c r="O278" i="1"/>
  <c r="N278" i="1"/>
  <c r="M278" i="1"/>
  <c r="B278" i="1"/>
  <c r="A278" i="1"/>
  <c r="T277" i="1"/>
  <c r="S277" i="1"/>
  <c r="R277" i="1"/>
  <c r="P277" i="1"/>
  <c r="O277" i="1"/>
  <c r="N277" i="1"/>
  <c r="M277" i="1"/>
  <c r="B277" i="1"/>
  <c r="A277" i="1"/>
  <c r="T276" i="1"/>
  <c r="S276" i="1"/>
  <c r="R276" i="1"/>
  <c r="O276" i="1"/>
  <c r="N276" i="1"/>
  <c r="M276" i="1"/>
  <c r="B276" i="1"/>
  <c r="A276" i="1"/>
  <c r="W275" i="1"/>
  <c r="X275" i="1" s="1"/>
  <c r="V275" i="1"/>
  <c r="U275" i="1"/>
  <c r="T275" i="1"/>
  <c r="S275" i="1"/>
  <c r="R275" i="1"/>
  <c r="Q275" i="1"/>
  <c r="P275" i="1"/>
  <c r="O275" i="1"/>
  <c r="N275" i="1"/>
  <c r="M275" i="1"/>
  <c r="B275" i="1"/>
  <c r="L275" i="1" s="1"/>
  <c r="A275" i="1"/>
  <c r="T274" i="1"/>
  <c r="S274" i="1"/>
  <c r="R274" i="1"/>
  <c r="O274" i="1"/>
  <c r="N274" i="1"/>
  <c r="M274" i="1"/>
  <c r="L274" i="1"/>
  <c r="B274" i="1"/>
  <c r="A274" i="1"/>
  <c r="W273" i="1"/>
  <c r="X273" i="1" s="1"/>
  <c r="T273" i="1"/>
  <c r="S273" i="1"/>
  <c r="R273" i="1"/>
  <c r="O273" i="1"/>
  <c r="N273" i="1"/>
  <c r="M273" i="1"/>
  <c r="B273" i="1"/>
  <c r="A273" i="1"/>
  <c r="T272" i="1"/>
  <c r="S272" i="1"/>
  <c r="R272" i="1"/>
  <c r="O272" i="1"/>
  <c r="N272" i="1"/>
  <c r="M272" i="1"/>
  <c r="B272" i="1"/>
  <c r="W272" i="1" s="1"/>
  <c r="X272" i="1" s="1"/>
  <c r="A272" i="1"/>
  <c r="W271" i="1"/>
  <c r="X271" i="1" s="1"/>
  <c r="T271" i="1"/>
  <c r="S271" i="1"/>
  <c r="R271" i="1"/>
  <c r="P271" i="1"/>
  <c r="V271" i="1" s="1"/>
  <c r="O271" i="1"/>
  <c r="N271" i="1"/>
  <c r="M271" i="1"/>
  <c r="B271" i="1"/>
  <c r="L271" i="1" s="1"/>
  <c r="A271" i="1"/>
  <c r="U270" i="1"/>
  <c r="T270" i="1"/>
  <c r="S270" i="1"/>
  <c r="R270" i="1"/>
  <c r="Q270" i="1"/>
  <c r="P270" i="1"/>
  <c r="O270" i="1"/>
  <c r="N270" i="1"/>
  <c r="M270" i="1"/>
  <c r="B270" i="1"/>
  <c r="A270" i="1"/>
  <c r="T269" i="1"/>
  <c r="S269" i="1"/>
  <c r="R269" i="1"/>
  <c r="O269" i="1"/>
  <c r="N269" i="1"/>
  <c r="M269" i="1"/>
  <c r="L269" i="1"/>
  <c r="B269" i="1"/>
  <c r="A269" i="1"/>
  <c r="W268" i="1"/>
  <c r="X268" i="1" s="1"/>
  <c r="T268" i="1"/>
  <c r="S268" i="1"/>
  <c r="R268" i="1"/>
  <c r="O268" i="1"/>
  <c r="N268" i="1"/>
  <c r="M268" i="1"/>
  <c r="B268" i="1"/>
  <c r="A268" i="1"/>
  <c r="W267" i="1"/>
  <c r="X267" i="1" s="1"/>
  <c r="U267" i="1"/>
  <c r="T267" i="1"/>
  <c r="S267" i="1"/>
  <c r="R267" i="1"/>
  <c r="P267" i="1"/>
  <c r="V267" i="1" s="1"/>
  <c r="O267" i="1"/>
  <c r="N267" i="1"/>
  <c r="M267" i="1"/>
  <c r="B267" i="1"/>
  <c r="L267" i="1" s="1"/>
  <c r="A267" i="1"/>
  <c r="T266" i="1"/>
  <c r="S266" i="1"/>
  <c r="R266" i="1"/>
  <c r="O266" i="1"/>
  <c r="N266" i="1"/>
  <c r="M266" i="1"/>
  <c r="L266" i="1"/>
  <c r="B266" i="1"/>
  <c r="A266" i="1"/>
  <c r="W265" i="1"/>
  <c r="X265" i="1" s="1"/>
  <c r="T265" i="1"/>
  <c r="S265" i="1"/>
  <c r="R265" i="1"/>
  <c r="P265" i="1"/>
  <c r="O265" i="1"/>
  <c r="N265" i="1"/>
  <c r="M265" i="1"/>
  <c r="B265" i="1"/>
  <c r="A265" i="1"/>
  <c r="T264" i="1"/>
  <c r="S264" i="1"/>
  <c r="R264" i="1"/>
  <c r="O264" i="1"/>
  <c r="N264" i="1"/>
  <c r="M264" i="1"/>
  <c r="B264" i="1"/>
  <c r="A264" i="1"/>
  <c r="W263" i="1"/>
  <c r="X263" i="1" s="1"/>
  <c r="T263" i="1"/>
  <c r="S263" i="1"/>
  <c r="R263" i="1"/>
  <c r="P263" i="1"/>
  <c r="V263" i="1" s="1"/>
  <c r="O263" i="1"/>
  <c r="N263" i="1"/>
  <c r="M263" i="1"/>
  <c r="B263" i="1"/>
  <c r="L263" i="1" s="1"/>
  <c r="A263" i="1"/>
  <c r="U262" i="1"/>
  <c r="T262" i="1"/>
  <c r="S262" i="1"/>
  <c r="R262" i="1"/>
  <c r="P262" i="1"/>
  <c r="Q262" i="1" s="1"/>
  <c r="O262" i="1"/>
  <c r="N262" i="1"/>
  <c r="M262" i="1"/>
  <c r="B262" i="1"/>
  <c r="A262" i="1"/>
  <c r="T261" i="1"/>
  <c r="S261" i="1"/>
  <c r="R261" i="1"/>
  <c r="O261" i="1"/>
  <c r="N261" i="1"/>
  <c r="M261" i="1"/>
  <c r="B261" i="1"/>
  <c r="A261" i="1"/>
  <c r="W260" i="1"/>
  <c r="X260" i="1" s="1"/>
  <c r="T260" i="1"/>
  <c r="S260" i="1"/>
  <c r="R260" i="1"/>
  <c r="O260" i="1"/>
  <c r="N260" i="1"/>
  <c r="M260" i="1"/>
  <c r="B260" i="1"/>
  <c r="A260" i="1"/>
  <c r="W259" i="1"/>
  <c r="X259" i="1" s="1"/>
  <c r="U259" i="1"/>
  <c r="T259" i="1"/>
  <c r="S259" i="1"/>
  <c r="R259" i="1"/>
  <c r="Q259" i="1"/>
  <c r="P259" i="1"/>
  <c r="V259" i="1" s="1"/>
  <c r="O259" i="1"/>
  <c r="N259" i="1"/>
  <c r="M259" i="1"/>
  <c r="B259" i="1"/>
  <c r="L259" i="1" s="1"/>
  <c r="A259" i="1"/>
  <c r="T258" i="1"/>
  <c r="S258" i="1"/>
  <c r="R258" i="1"/>
  <c r="O258" i="1"/>
  <c r="N258" i="1"/>
  <c r="M258" i="1"/>
  <c r="B258" i="1"/>
  <c r="A258" i="1"/>
  <c r="W257" i="1"/>
  <c r="X257" i="1" s="1"/>
  <c r="U257" i="1"/>
  <c r="T257" i="1"/>
  <c r="S257" i="1"/>
  <c r="R257" i="1"/>
  <c r="P257" i="1"/>
  <c r="O257" i="1"/>
  <c r="N257" i="1"/>
  <c r="M257" i="1"/>
  <c r="B257" i="1"/>
  <c r="A257" i="1"/>
  <c r="T256" i="1"/>
  <c r="S256" i="1"/>
  <c r="R256" i="1"/>
  <c r="O256" i="1"/>
  <c r="N256" i="1"/>
  <c r="M256" i="1"/>
  <c r="B256" i="1"/>
  <c r="W256" i="1" s="1"/>
  <c r="X256" i="1" s="1"/>
  <c r="A256" i="1"/>
  <c r="T255" i="1"/>
  <c r="S255" i="1"/>
  <c r="R255" i="1"/>
  <c r="O255" i="1"/>
  <c r="N255" i="1"/>
  <c r="M255" i="1"/>
  <c r="B255" i="1"/>
  <c r="A255" i="1"/>
  <c r="U254" i="1"/>
  <c r="T254" i="1"/>
  <c r="S254" i="1"/>
  <c r="R254" i="1"/>
  <c r="Q254" i="1"/>
  <c r="P254" i="1"/>
  <c r="O254" i="1"/>
  <c r="N254" i="1"/>
  <c r="M254" i="1"/>
  <c r="B254" i="1"/>
  <c r="A254" i="1"/>
  <c r="T253" i="1"/>
  <c r="S253" i="1"/>
  <c r="R253" i="1"/>
  <c r="P253" i="1"/>
  <c r="O253" i="1"/>
  <c r="N253" i="1"/>
  <c r="M253" i="1"/>
  <c r="B253" i="1"/>
  <c r="A253" i="1"/>
  <c r="T252" i="1"/>
  <c r="S252" i="1"/>
  <c r="R252" i="1"/>
  <c r="O252" i="1"/>
  <c r="N252" i="1"/>
  <c r="M252" i="1"/>
  <c r="B252" i="1"/>
  <c r="A252" i="1"/>
  <c r="W251" i="1"/>
  <c r="X251" i="1" s="1"/>
  <c r="T251" i="1"/>
  <c r="S251" i="1"/>
  <c r="R251" i="1"/>
  <c r="O251" i="1"/>
  <c r="N251" i="1"/>
  <c r="M251" i="1"/>
  <c r="B251" i="1"/>
  <c r="L251" i="1" s="1"/>
  <c r="A251" i="1"/>
  <c r="T250" i="1"/>
  <c r="S250" i="1"/>
  <c r="R250" i="1"/>
  <c r="P250" i="1"/>
  <c r="O250" i="1"/>
  <c r="N250" i="1"/>
  <c r="M250" i="1"/>
  <c r="B250" i="1"/>
  <c r="A250" i="1"/>
  <c r="T249" i="1"/>
  <c r="S249" i="1"/>
  <c r="R249" i="1"/>
  <c r="O249" i="1"/>
  <c r="N249" i="1"/>
  <c r="M249" i="1"/>
  <c r="B249" i="1"/>
  <c r="A249" i="1"/>
  <c r="W248" i="1"/>
  <c r="X248" i="1" s="1"/>
  <c r="V248" i="1"/>
  <c r="U248" i="1"/>
  <c r="T248" i="1"/>
  <c r="S248" i="1"/>
  <c r="R248" i="1"/>
  <c r="P248" i="1"/>
  <c r="O248" i="1"/>
  <c r="N248" i="1"/>
  <c r="M248" i="1"/>
  <c r="B248" i="1"/>
  <c r="A248" i="1"/>
  <c r="T247" i="1"/>
  <c r="S247" i="1"/>
  <c r="R247" i="1"/>
  <c r="O247" i="1"/>
  <c r="N247" i="1"/>
  <c r="M247" i="1"/>
  <c r="B247" i="1"/>
  <c r="A247" i="1"/>
  <c r="T246" i="1"/>
  <c r="S246" i="1"/>
  <c r="R246" i="1"/>
  <c r="O246" i="1"/>
  <c r="N246" i="1"/>
  <c r="M246" i="1"/>
  <c r="B246" i="1"/>
  <c r="A246" i="1"/>
  <c r="W245" i="1"/>
  <c r="X245" i="1" s="1"/>
  <c r="T245" i="1"/>
  <c r="S245" i="1"/>
  <c r="R245" i="1"/>
  <c r="P245" i="1"/>
  <c r="U245" i="1" s="1"/>
  <c r="O245" i="1"/>
  <c r="N245" i="1"/>
  <c r="M245" i="1"/>
  <c r="L245" i="1"/>
  <c r="B245" i="1"/>
  <c r="A245" i="1"/>
  <c r="T244" i="1"/>
  <c r="S244" i="1"/>
  <c r="R244" i="1"/>
  <c r="P244" i="1"/>
  <c r="O244" i="1"/>
  <c r="N244" i="1"/>
  <c r="M244" i="1"/>
  <c r="B244" i="1"/>
  <c r="A244" i="1"/>
  <c r="T243" i="1"/>
  <c r="S243" i="1"/>
  <c r="R243" i="1"/>
  <c r="O243" i="1"/>
  <c r="N243" i="1"/>
  <c r="M243" i="1"/>
  <c r="B243" i="1"/>
  <c r="L243" i="1" s="1"/>
  <c r="A243" i="1"/>
  <c r="W242" i="1"/>
  <c r="X242" i="1" s="1"/>
  <c r="T242" i="1"/>
  <c r="S242" i="1"/>
  <c r="R242" i="1"/>
  <c r="P242" i="1"/>
  <c r="U242" i="1" s="1"/>
  <c r="O242" i="1"/>
  <c r="N242" i="1"/>
  <c r="M242" i="1"/>
  <c r="L242" i="1"/>
  <c r="B242" i="1"/>
  <c r="A242" i="1"/>
  <c r="T241" i="1"/>
  <c r="S241" i="1"/>
  <c r="R241" i="1"/>
  <c r="O241" i="1"/>
  <c r="N241" i="1"/>
  <c r="M241" i="1"/>
  <c r="L241" i="1"/>
  <c r="B241" i="1"/>
  <c r="A241" i="1"/>
  <c r="T240" i="1"/>
  <c r="S240" i="1"/>
  <c r="R240" i="1"/>
  <c r="O240" i="1"/>
  <c r="N240" i="1"/>
  <c r="M240" i="1"/>
  <c r="B240" i="1"/>
  <c r="A240" i="1"/>
  <c r="W239" i="1"/>
  <c r="X239" i="1" s="1"/>
  <c r="V239" i="1"/>
  <c r="U239" i="1"/>
  <c r="T239" i="1"/>
  <c r="S239" i="1"/>
  <c r="R239" i="1"/>
  <c r="Q239" i="1"/>
  <c r="P239" i="1"/>
  <c r="O239" i="1"/>
  <c r="N239" i="1"/>
  <c r="M239" i="1"/>
  <c r="B239" i="1"/>
  <c r="L239" i="1" s="1"/>
  <c r="A239" i="1"/>
  <c r="T238" i="1"/>
  <c r="S238" i="1"/>
  <c r="R238" i="1"/>
  <c r="O238" i="1"/>
  <c r="N238" i="1"/>
  <c r="M238" i="1"/>
  <c r="B238" i="1"/>
  <c r="A238" i="1"/>
  <c r="T237" i="1"/>
  <c r="S237" i="1"/>
  <c r="R237" i="1"/>
  <c r="O237" i="1"/>
  <c r="N237" i="1"/>
  <c r="M237" i="1"/>
  <c r="B237" i="1"/>
  <c r="A237" i="1"/>
  <c r="W236" i="1"/>
  <c r="X236" i="1" s="1"/>
  <c r="V236" i="1"/>
  <c r="U236" i="1"/>
  <c r="T236" i="1"/>
  <c r="S236" i="1"/>
  <c r="R236" i="1"/>
  <c r="P236" i="1"/>
  <c r="O236" i="1"/>
  <c r="N236" i="1"/>
  <c r="M236" i="1"/>
  <c r="B236" i="1"/>
  <c r="A236" i="1"/>
  <c r="T235" i="1"/>
  <c r="S235" i="1"/>
  <c r="R235" i="1"/>
  <c r="O235" i="1"/>
  <c r="N235" i="1"/>
  <c r="M235" i="1"/>
  <c r="B235" i="1"/>
  <c r="A235" i="1"/>
  <c r="T234" i="1"/>
  <c r="S234" i="1"/>
  <c r="R234" i="1"/>
  <c r="O234" i="1"/>
  <c r="N234" i="1"/>
  <c r="M234" i="1"/>
  <c r="L234" i="1"/>
  <c r="B234" i="1"/>
  <c r="A234" i="1"/>
  <c r="W233" i="1"/>
  <c r="X233" i="1" s="1"/>
  <c r="U233" i="1"/>
  <c r="T233" i="1"/>
  <c r="S233" i="1"/>
  <c r="R233" i="1"/>
  <c r="P233" i="1"/>
  <c r="O233" i="1"/>
  <c r="N233" i="1"/>
  <c r="M233" i="1"/>
  <c r="B233" i="1"/>
  <c r="A233" i="1"/>
  <c r="T232" i="1"/>
  <c r="S232" i="1"/>
  <c r="R232" i="1"/>
  <c r="O232" i="1"/>
  <c r="N232" i="1"/>
  <c r="M232" i="1"/>
  <c r="B232" i="1"/>
  <c r="A232" i="1"/>
  <c r="T231" i="1"/>
  <c r="S231" i="1"/>
  <c r="R231" i="1"/>
  <c r="O231" i="1"/>
  <c r="N231" i="1"/>
  <c r="M231" i="1"/>
  <c r="B231" i="1"/>
  <c r="L231" i="1" s="1"/>
  <c r="A231" i="1"/>
  <c r="W230" i="1"/>
  <c r="X230" i="1" s="1"/>
  <c r="T230" i="1"/>
  <c r="S230" i="1"/>
  <c r="R230" i="1"/>
  <c r="O230" i="1"/>
  <c r="N230" i="1"/>
  <c r="M230" i="1"/>
  <c r="L230" i="1"/>
  <c r="B230" i="1"/>
  <c r="A230" i="1"/>
  <c r="T229" i="1"/>
  <c r="S229" i="1"/>
  <c r="R229" i="1"/>
  <c r="O229" i="1"/>
  <c r="N229" i="1"/>
  <c r="M229" i="1"/>
  <c r="L229" i="1"/>
  <c r="B229" i="1"/>
  <c r="A229" i="1"/>
  <c r="T228" i="1"/>
  <c r="S228" i="1"/>
  <c r="R228" i="1"/>
  <c r="O228" i="1"/>
  <c r="N228" i="1"/>
  <c r="M228" i="1"/>
  <c r="B228" i="1"/>
  <c r="A228" i="1"/>
  <c r="W227" i="1"/>
  <c r="X227" i="1" s="1"/>
  <c r="T227" i="1"/>
  <c r="S227" i="1"/>
  <c r="R227" i="1"/>
  <c r="O227" i="1"/>
  <c r="N227" i="1"/>
  <c r="M227" i="1"/>
  <c r="B227" i="1"/>
  <c r="L227" i="1" s="1"/>
  <c r="A227" i="1"/>
  <c r="T226" i="1"/>
  <c r="S226" i="1"/>
  <c r="R226" i="1"/>
  <c r="P226" i="1"/>
  <c r="O226" i="1"/>
  <c r="N226" i="1"/>
  <c r="M226" i="1"/>
  <c r="L226" i="1"/>
  <c r="B226" i="1"/>
  <c r="W226" i="1" s="1"/>
  <c r="X226" i="1" s="1"/>
  <c r="A226" i="1"/>
  <c r="T225" i="1"/>
  <c r="S225" i="1"/>
  <c r="R225" i="1"/>
  <c r="O225" i="1"/>
  <c r="N225" i="1"/>
  <c r="M225" i="1"/>
  <c r="B225" i="1"/>
  <c r="A225" i="1"/>
  <c r="W224" i="1"/>
  <c r="X224" i="1" s="1"/>
  <c r="T224" i="1"/>
  <c r="S224" i="1"/>
  <c r="R224" i="1"/>
  <c r="O224" i="1"/>
  <c r="N224" i="1"/>
  <c r="M224" i="1"/>
  <c r="B224" i="1"/>
  <c r="A224" i="1"/>
  <c r="T223" i="1"/>
  <c r="S223" i="1"/>
  <c r="R223" i="1"/>
  <c r="Q223" i="1"/>
  <c r="P223" i="1"/>
  <c r="U223" i="1" s="1"/>
  <c r="O223" i="1"/>
  <c r="N223" i="1"/>
  <c r="M223" i="1"/>
  <c r="B223" i="1"/>
  <c r="L223" i="1" s="1"/>
  <c r="A223" i="1"/>
  <c r="T222" i="1"/>
  <c r="S222" i="1"/>
  <c r="R222" i="1"/>
  <c r="O222" i="1"/>
  <c r="N222" i="1"/>
  <c r="M222" i="1"/>
  <c r="L222" i="1"/>
  <c r="B222" i="1"/>
  <c r="A222" i="1"/>
  <c r="W221" i="1"/>
  <c r="X221" i="1" s="1"/>
  <c r="T221" i="1"/>
  <c r="S221" i="1"/>
  <c r="R221" i="1"/>
  <c r="O221" i="1"/>
  <c r="N221" i="1"/>
  <c r="M221" i="1"/>
  <c r="B221" i="1"/>
  <c r="A221" i="1"/>
  <c r="W220" i="1"/>
  <c r="X220" i="1" s="1"/>
  <c r="T220" i="1"/>
  <c r="S220" i="1"/>
  <c r="R220" i="1"/>
  <c r="P220" i="1"/>
  <c r="V220" i="1" s="1"/>
  <c r="O220" i="1"/>
  <c r="N220" i="1"/>
  <c r="M220" i="1"/>
  <c r="L220" i="1"/>
  <c r="B220" i="1"/>
  <c r="A220" i="1"/>
  <c r="T219" i="1"/>
  <c r="S219" i="1"/>
  <c r="R219" i="1"/>
  <c r="O219" i="1"/>
  <c r="N219" i="1"/>
  <c r="M219" i="1"/>
  <c r="B219" i="1"/>
  <c r="L219" i="1" s="1"/>
  <c r="A219" i="1"/>
  <c r="W218" i="1"/>
  <c r="X218" i="1" s="1"/>
  <c r="T218" i="1"/>
  <c r="S218" i="1"/>
  <c r="R218" i="1"/>
  <c r="O218" i="1"/>
  <c r="N218" i="1"/>
  <c r="M218" i="1"/>
  <c r="B218" i="1"/>
  <c r="A218" i="1"/>
  <c r="W217" i="1"/>
  <c r="X217" i="1" s="1"/>
  <c r="T217" i="1"/>
  <c r="S217" i="1"/>
  <c r="R217" i="1"/>
  <c r="P217" i="1"/>
  <c r="U217" i="1" s="1"/>
  <c r="O217" i="1"/>
  <c r="N217" i="1"/>
  <c r="M217" i="1"/>
  <c r="L217" i="1"/>
  <c r="B217" i="1"/>
  <c r="A217" i="1"/>
  <c r="T216" i="1"/>
  <c r="S216" i="1"/>
  <c r="R216" i="1"/>
  <c r="P216" i="1"/>
  <c r="O216" i="1"/>
  <c r="N216" i="1"/>
  <c r="M216" i="1"/>
  <c r="B216" i="1"/>
  <c r="A216" i="1"/>
  <c r="T215" i="1"/>
  <c r="S215" i="1"/>
  <c r="R215" i="1"/>
  <c r="O215" i="1"/>
  <c r="N215" i="1"/>
  <c r="M215" i="1"/>
  <c r="B215" i="1"/>
  <c r="L215" i="1" s="1"/>
  <c r="A215" i="1"/>
  <c r="W214" i="1"/>
  <c r="X214" i="1" s="1"/>
  <c r="T214" i="1"/>
  <c r="S214" i="1"/>
  <c r="R214" i="1"/>
  <c r="O214" i="1"/>
  <c r="N214" i="1"/>
  <c r="M214" i="1"/>
  <c r="B214" i="1"/>
  <c r="A214" i="1"/>
  <c r="W213" i="1"/>
  <c r="X213" i="1" s="1"/>
  <c r="T213" i="1"/>
  <c r="S213" i="1"/>
  <c r="R213" i="1"/>
  <c r="Q213" i="1"/>
  <c r="P213" i="1"/>
  <c r="U213" i="1" s="1"/>
  <c r="O213" i="1"/>
  <c r="N213" i="1"/>
  <c r="M213" i="1"/>
  <c r="L213" i="1"/>
  <c r="B213" i="1"/>
  <c r="A213" i="1"/>
  <c r="T212" i="1"/>
  <c r="S212" i="1"/>
  <c r="R212" i="1"/>
  <c r="O212" i="1"/>
  <c r="N212" i="1"/>
  <c r="M212" i="1"/>
  <c r="B212" i="1"/>
  <c r="A212" i="1"/>
  <c r="W211" i="1"/>
  <c r="X211" i="1" s="1"/>
  <c r="V211" i="1"/>
  <c r="U211" i="1"/>
  <c r="T211" i="1"/>
  <c r="S211" i="1"/>
  <c r="R211" i="1"/>
  <c r="P211" i="1"/>
  <c r="Q211" i="1" s="1"/>
  <c r="O211" i="1"/>
  <c r="N211" i="1"/>
  <c r="M211" i="1"/>
  <c r="B211" i="1"/>
  <c r="L211" i="1" s="1"/>
  <c r="A211" i="1"/>
  <c r="W210" i="1"/>
  <c r="X210" i="1" s="1"/>
  <c r="V210" i="1"/>
  <c r="T210" i="1"/>
  <c r="S210" i="1"/>
  <c r="R210" i="1"/>
  <c r="Q210" i="1"/>
  <c r="P210" i="1"/>
  <c r="U210" i="1" s="1"/>
  <c r="O210" i="1"/>
  <c r="N210" i="1"/>
  <c r="M210" i="1"/>
  <c r="L210" i="1"/>
  <c r="B210" i="1"/>
  <c r="A210" i="1"/>
  <c r="T209" i="1"/>
  <c r="S209" i="1"/>
  <c r="R209" i="1"/>
  <c r="O209" i="1"/>
  <c r="N209" i="1"/>
  <c r="M209" i="1"/>
  <c r="B209" i="1"/>
  <c r="A209" i="1"/>
  <c r="T208" i="1"/>
  <c r="S208" i="1"/>
  <c r="R208" i="1"/>
  <c r="O208" i="1"/>
  <c r="N208" i="1"/>
  <c r="M208" i="1"/>
  <c r="B208" i="1"/>
  <c r="A208" i="1"/>
  <c r="W207" i="1"/>
  <c r="X207" i="1" s="1"/>
  <c r="T207" i="1"/>
  <c r="S207" i="1"/>
  <c r="R207" i="1"/>
  <c r="O207" i="1"/>
  <c r="N207" i="1"/>
  <c r="M207" i="1"/>
  <c r="B207" i="1"/>
  <c r="L207" i="1" s="1"/>
  <c r="A207" i="1"/>
  <c r="T206" i="1"/>
  <c r="S206" i="1"/>
  <c r="R206" i="1"/>
  <c r="P206" i="1"/>
  <c r="O206" i="1"/>
  <c r="N206" i="1"/>
  <c r="M206" i="1"/>
  <c r="L206" i="1"/>
  <c r="B206" i="1"/>
  <c r="W206" i="1" s="1"/>
  <c r="X206" i="1" s="1"/>
  <c r="A206" i="1"/>
  <c r="T205" i="1"/>
  <c r="S205" i="1"/>
  <c r="R205" i="1"/>
  <c r="O205" i="1"/>
  <c r="N205" i="1"/>
  <c r="M205" i="1"/>
  <c r="B205" i="1"/>
  <c r="A205" i="1"/>
  <c r="W204" i="1"/>
  <c r="X204" i="1" s="1"/>
  <c r="V204" i="1"/>
  <c r="U204" i="1"/>
  <c r="T204" i="1"/>
  <c r="S204" i="1"/>
  <c r="R204" i="1"/>
  <c r="P204" i="1"/>
  <c r="O204" i="1"/>
  <c r="N204" i="1"/>
  <c r="M204" i="1"/>
  <c r="B204" i="1"/>
  <c r="A204" i="1"/>
  <c r="W203" i="1"/>
  <c r="X203" i="1" s="1"/>
  <c r="T203" i="1"/>
  <c r="S203" i="1"/>
  <c r="R203" i="1"/>
  <c r="P203" i="1"/>
  <c r="U203" i="1" s="1"/>
  <c r="O203" i="1"/>
  <c r="N203" i="1"/>
  <c r="M203" i="1"/>
  <c r="B203" i="1"/>
  <c r="L203" i="1" s="1"/>
  <c r="A203" i="1"/>
  <c r="T202" i="1"/>
  <c r="S202" i="1"/>
  <c r="R202" i="1"/>
  <c r="O202" i="1"/>
  <c r="N202" i="1"/>
  <c r="M202" i="1"/>
  <c r="B202" i="1"/>
  <c r="A202" i="1"/>
  <c r="T201" i="1"/>
  <c r="S201" i="1"/>
  <c r="R201" i="1"/>
  <c r="O201" i="1"/>
  <c r="N201" i="1"/>
  <c r="M201" i="1"/>
  <c r="L201" i="1"/>
  <c r="B201" i="1"/>
  <c r="A201" i="1"/>
  <c r="W200" i="1"/>
  <c r="X200" i="1" s="1"/>
  <c r="T200" i="1"/>
  <c r="S200" i="1"/>
  <c r="R200" i="1"/>
  <c r="O200" i="1"/>
  <c r="N200" i="1"/>
  <c r="M200" i="1"/>
  <c r="B200" i="1"/>
  <c r="A200" i="1"/>
  <c r="T199" i="1"/>
  <c r="S199" i="1"/>
  <c r="R199" i="1"/>
  <c r="P199" i="1"/>
  <c r="Q199" i="1" s="1"/>
  <c r="O199" i="1"/>
  <c r="N199" i="1"/>
  <c r="M199" i="1"/>
  <c r="B199" i="1"/>
  <c r="A199" i="1"/>
  <c r="T198" i="1"/>
  <c r="S198" i="1"/>
  <c r="R198" i="1"/>
  <c r="O198" i="1"/>
  <c r="N198" i="1"/>
  <c r="M198" i="1"/>
  <c r="B198" i="1"/>
  <c r="A198" i="1"/>
  <c r="W197" i="1"/>
  <c r="X197" i="1" s="1"/>
  <c r="U197" i="1"/>
  <c r="T197" i="1"/>
  <c r="S197" i="1"/>
  <c r="R197" i="1"/>
  <c r="Q197" i="1"/>
  <c r="P197" i="1"/>
  <c r="O197" i="1"/>
  <c r="N197" i="1"/>
  <c r="M197" i="1"/>
  <c r="B197" i="1"/>
  <c r="A197" i="1"/>
  <c r="W196" i="1"/>
  <c r="X196" i="1" s="1"/>
  <c r="T196" i="1"/>
  <c r="S196" i="1"/>
  <c r="R196" i="1"/>
  <c r="P196" i="1"/>
  <c r="V196" i="1" s="1"/>
  <c r="O196" i="1"/>
  <c r="N196" i="1"/>
  <c r="M196" i="1"/>
  <c r="B196" i="1"/>
  <c r="U196" i="1" s="1"/>
  <c r="A196" i="1"/>
  <c r="W195" i="1"/>
  <c r="X195" i="1" s="1"/>
  <c r="V195" i="1"/>
  <c r="T195" i="1"/>
  <c r="S195" i="1"/>
  <c r="R195" i="1"/>
  <c r="Q195" i="1"/>
  <c r="P195" i="1"/>
  <c r="O195" i="1"/>
  <c r="N195" i="1"/>
  <c r="M195" i="1"/>
  <c r="B195" i="1"/>
  <c r="A195" i="1"/>
  <c r="T194" i="1"/>
  <c r="S194" i="1"/>
  <c r="R194" i="1"/>
  <c r="O194" i="1"/>
  <c r="N194" i="1"/>
  <c r="M194" i="1"/>
  <c r="B194" i="1"/>
  <c r="A194" i="1"/>
  <c r="W193" i="1"/>
  <c r="X193" i="1" s="1"/>
  <c r="T193" i="1"/>
  <c r="S193" i="1"/>
  <c r="R193" i="1"/>
  <c r="O193" i="1"/>
  <c r="N193" i="1"/>
  <c r="M193" i="1"/>
  <c r="B193" i="1"/>
  <c r="A193" i="1"/>
  <c r="T192" i="1"/>
  <c r="S192" i="1"/>
  <c r="R192" i="1"/>
  <c r="O192" i="1"/>
  <c r="N192" i="1"/>
  <c r="M192" i="1"/>
  <c r="L192" i="1"/>
  <c r="B192" i="1"/>
  <c r="A192" i="1"/>
  <c r="W191" i="1"/>
  <c r="X191" i="1" s="1"/>
  <c r="T191" i="1"/>
  <c r="S191" i="1"/>
  <c r="R191" i="1"/>
  <c r="O191" i="1"/>
  <c r="N191" i="1"/>
  <c r="M191" i="1"/>
  <c r="B191" i="1"/>
  <c r="L191" i="1" s="1"/>
  <c r="A191" i="1"/>
  <c r="W190" i="1"/>
  <c r="X190" i="1" s="1"/>
  <c r="V190" i="1"/>
  <c r="U190" i="1"/>
  <c r="T190" i="1"/>
  <c r="S190" i="1"/>
  <c r="R190" i="1"/>
  <c r="Q190" i="1"/>
  <c r="P190" i="1"/>
  <c r="O190" i="1"/>
  <c r="N190" i="1"/>
  <c r="M190" i="1"/>
  <c r="B190" i="1"/>
  <c r="L190" i="1" s="1"/>
  <c r="A190" i="1"/>
  <c r="T189" i="1"/>
  <c r="S189" i="1"/>
  <c r="R189" i="1"/>
  <c r="O189" i="1"/>
  <c r="N189" i="1"/>
  <c r="M189" i="1"/>
  <c r="B189" i="1"/>
  <c r="A189" i="1"/>
  <c r="W188" i="1"/>
  <c r="X188" i="1" s="1"/>
  <c r="T188" i="1"/>
  <c r="S188" i="1"/>
  <c r="R188" i="1"/>
  <c r="O188" i="1"/>
  <c r="N188" i="1"/>
  <c r="M188" i="1"/>
  <c r="B188" i="1"/>
  <c r="A188" i="1"/>
  <c r="T187" i="1"/>
  <c r="S187" i="1"/>
  <c r="R187" i="1"/>
  <c r="O187" i="1"/>
  <c r="N187" i="1"/>
  <c r="M187" i="1"/>
  <c r="L187" i="1"/>
  <c r="B187" i="1"/>
  <c r="A187" i="1"/>
  <c r="W186" i="1"/>
  <c r="X186" i="1" s="1"/>
  <c r="T186" i="1"/>
  <c r="S186" i="1"/>
  <c r="R186" i="1"/>
  <c r="P186" i="1"/>
  <c r="V186" i="1" s="1"/>
  <c r="O186" i="1"/>
  <c r="N186" i="1"/>
  <c r="M186" i="1"/>
  <c r="L186" i="1"/>
  <c r="B186" i="1"/>
  <c r="Q186" i="1" s="1"/>
  <c r="A186" i="1"/>
  <c r="W185" i="1"/>
  <c r="X185" i="1" s="1"/>
  <c r="T185" i="1"/>
  <c r="S185" i="1"/>
  <c r="R185" i="1"/>
  <c r="O185" i="1"/>
  <c r="N185" i="1"/>
  <c r="M185" i="1"/>
  <c r="B185" i="1"/>
  <c r="L185" i="1" s="1"/>
  <c r="A185" i="1"/>
  <c r="T184" i="1"/>
  <c r="S184" i="1"/>
  <c r="R184" i="1"/>
  <c r="P184" i="1"/>
  <c r="O184" i="1"/>
  <c r="N184" i="1"/>
  <c r="M184" i="1"/>
  <c r="B184" i="1"/>
  <c r="A184" i="1"/>
  <c r="T183" i="1"/>
  <c r="S183" i="1"/>
  <c r="R183" i="1"/>
  <c r="O183" i="1"/>
  <c r="N183" i="1"/>
  <c r="M183" i="1"/>
  <c r="B183" i="1"/>
  <c r="A183" i="1"/>
  <c r="W182" i="1"/>
  <c r="X182" i="1" s="1"/>
  <c r="V182" i="1"/>
  <c r="U182" i="1"/>
  <c r="T182" i="1"/>
  <c r="S182" i="1"/>
  <c r="R182" i="1"/>
  <c r="P182" i="1"/>
  <c r="O182" i="1"/>
  <c r="N182" i="1"/>
  <c r="M182" i="1"/>
  <c r="L182" i="1"/>
  <c r="B182" i="1"/>
  <c r="A182" i="1"/>
  <c r="T181" i="1"/>
  <c r="S181" i="1"/>
  <c r="R181" i="1"/>
  <c r="P181" i="1"/>
  <c r="Q181" i="1" s="1"/>
  <c r="O181" i="1"/>
  <c r="N181" i="1"/>
  <c r="M181" i="1"/>
  <c r="B181" i="1"/>
  <c r="L181" i="1" s="1"/>
  <c r="A181" i="1"/>
  <c r="T180" i="1"/>
  <c r="S180" i="1"/>
  <c r="R180" i="1"/>
  <c r="O180" i="1"/>
  <c r="N180" i="1"/>
  <c r="M180" i="1"/>
  <c r="B180" i="1"/>
  <c r="A180" i="1"/>
  <c r="T179" i="1"/>
  <c r="S179" i="1"/>
  <c r="R179" i="1"/>
  <c r="O179" i="1"/>
  <c r="N179" i="1"/>
  <c r="M179" i="1"/>
  <c r="B179" i="1"/>
  <c r="A179" i="1"/>
  <c r="W178" i="1"/>
  <c r="X178" i="1" s="1"/>
  <c r="T178" i="1"/>
  <c r="S178" i="1"/>
  <c r="R178" i="1"/>
  <c r="P178" i="1"/>
  <c r="V178" i="1" s="1"/>
  <c r="O178" i="1"/>
  <c r="N178" i="1"/>
  <c r="M178" i="1"/>
  <c r="L178" i="1"/>
  <c r="B178" i="1"/>
  <c r="A178" i="1"/>
  <c r="T177" i="1"/>
  <c r="S177" i="1"/>
  <c r="R177" i="1"/>
  <c r="O177" i="1"/>
  <c r="N177" i="1"/>
  <c r="M177" i="1"/>
  <c r="B177" i="1"/>
  <c r="L177" i="1" s="1"/>
  <c r="A177" i="1"/>
  <c r="W176" i="1"/>
  <c r="X176" i="1" s="1"/>
  <c r="T176" i="1"/>
  <c r="S176" i="1"/>
  <c r="R176" i="1"/>
  <c r="O176" i="1"/>
  <c r="N176" i="1"/>
  <c r="M176" i="1"/>
  <c r="B176" i="1"/>
  <c r="A176" i="1"/>
  <c r="T175" i="1"/>
  <c r="S175" i="1"/>
  <c r="R175" i="1"/>
  <c r="O175" i="1"/>
  <c r="N175" i="1"/>
  <c r="M175" i="1"/>
  <c r="L175" i="1"/>
  <c r="B175" i="1"/>
  <c r="A175" i="1"/>
  <c r="W174" i="1"/>
  <c r="X174" i="1" s="1"/>
  <c r="T174" i="1"/>
  <c r="S174" i="1"/>
  <c r="R174" i="1"/>
  <c r="P174" i="1"/>
  <c r="V174" i="1" s="1"/>
  <c r="O174" i="1"/>
  <c r="N174" i="1"/>
  <c r="M174" i="1"/>
  <c r="L174" i="1"/>
  <c r="B174" i="1"/>
  <c r="Q174" i="1" s="1"/>
  <c r="A174" i="1"/>
  <c r="W173" i="1"/>
  <c r="X173" i="1" s="1"/>
  <c r="T173" i="1"/>
  <c r="S173" i="1"/>
  <c r="R173" i="1"/>
  <c r="O173" i="1"/>
  <c r="N173" i="1"/>
  <c r="M173" i="1"/>
  <c r="B173" i="1"/>
  <c r="L173" i="1" s="1"/>
  <c r="A173" i="1"/>
  <c r="T172" i="1"/>
  <c r="S172" i="1"/>
  <c r="R172" i="1"/>
  <c r="P172" i="1"/>
  <c r="Q172" i="1" s="1"/>
  <c r="O172" i="1"/>
  <c r="N172" i="1"/>
  <c r="M172" i="1"/>
  <c r="B172" i="1"/>
  <c r="A172" i="1"/>
  <c r="T171" i="1"/>
  <c r="S171" i="1"/>
  <c r="R171" i="1"/>
  <c r="O171" i="1"/>
  <c r="N171" i="1"/>
  <c r="M171" i="1"/>
  <c r="B171" i="1"/>
  <c r="A171" i="1"/>
  <c r="W170" i="1"/>
  <c r="X170" i="1" s="1"/>
  <c r="V170" i="1"/>
  <c r="U170" i="1"/>
  <c r="T170" i="1"/>
  <c r="S170" i="1"/>
  <c r="R170" i="1"/>
  <c r="P170" i="1"/>
  <c r="O170" i="1"/>
  <c r="N170" i="1"/>
  <c r="M170" i="1"/>
  <c r="L170" i="1"/>
  <c r="B170" i="1"/>
  <c r="Q170" i="1" s="1"/>
  <c r="A170" i="1"/>
  <c r="T169" i="1"/>
  <c r="S169" i="1"/>
  <c r="R169" i="1"/>
  <c r="Q169" i="1"/>
  <c r="P169" i="1"/>
  <c r="O169" i="1"/>
  <c r="N169" i="1"/>
  <c r="M169" i="1"/>
  <c r="B169" i="1"/>
  <c r="L169" i="1" s="1"/>
  <c r="A169" i="1"/>
  <c r="T168" i="1"/>
  <c r="S168" i="1"/>
  <c r="R168" i="1"/>
  <c r="O168" i="1"/>
  <c r="N168" i="1"/>
  <c r="M168" i="1"/>
  <c r="B168" i="1"/>
  <c r="A168" i="1"/>
  <c r="T167" i="1"/>
  <c r="S167" i="1"/>
  <c r="R167" i="1"/>
  <c r="O167" i="1"/>
  <c r="N167" i="1"/>
  <c r="M167" i="1"/>
  <c r="B167" i="1"/>
  <c r="A167" i="1"/>
  <c r="W166" i="1"/>
  <c r="X166" i="1" s="1"/>
  <c r="T166" i="1"/>
  <c r="S166" i="1"/>
  <c r="R166" i="1"/>
  <c r="P166" i="1"/>
  <c r="O166" i="1"/>
  <c r="N166" i="1"/>
  <c r="M166" i="1"/>
  <c r="L166" i="1"/>
  <c r="B166" i="1"/>
  <c r="A166" i="1"/>
  <c r="T165" i="1"/>
  <c r="S165" i="1"/>
  <c r="R165" i="1"/>
  <c r="O165" i="1"/>
  <c r="N165" i="1"/>
  <c r="M165" i="1"/>
  <c r="B165" i="1"/>
  <c r="A165" i="1"/>
  <c r="W164" i="1"/>
  <c r="X164" i="1" s="1"/>
  <c r="T164" i="1"/>
  <c r="S164" i="1"/>
  <c r="R164" i="1"/>
  <c r="O164" i="1"/>
  <c r="N164" i="1"/>
  <c r="M164" i="1"/>
  <c r="L164" i="1"/>
  <c r="B164" i="1"/>
  <c r="A164" i="1"/>
  <c r="T163" i="1"/>
  <c r="S163" i="1"/>
  <c r="R163" i="1"/>
  <c r="O163" i="1"/>
  <c r="N163" i="1"/>
  <c r="M163" i="1"/>
  <c r="B163" i="1"/>
  <c r="A163" i="1"/>
  <c r="W162" i="1"/>
  <c r="X162" i="1" s="1"/>
  <c r="T162" i="1"/>
  <c r="S162" i="1"/>
  <c r="R162" i="1"/>
  <c r="P162" i="1"/>
  <c r="V162" i="1" s="1"/>
  <c r="O162" i="1"/>
  <c r="N162" i="1"/>
  <c r="M162" i="1"/>
  <c r="L162" i="1"/>
  <c r="B162" i="1"/>
  <c r="Q162" i="1" s="1"/>
  <c r="A162" i="1"/>
  <c r="W161" i="1"/>
  <c r="X161" i="1" s="1"/>
  <c r="V161" i="1"/>
  <c r="U161" i="1"/>
  <c r="T161" i="1"/>
  <c r="S161" i="1"/>
  <c r="R161" i="1"/>
  <c r="P161" i="1"/>
  <c r="O161" i="1"/>
  <c r="N161" i="1"/>
  <c r="M161" i="1"/>
  <c r="B161" i="1"/>
  <c r="L161" i="1" s="1"/>
  <c r="A161" i="1"/>
  <c r="W160" i="1"/>
  <c r="X160" i="1" s="1"/>
  <c r="T160" i="1"/>
  <c r="S160" i="1"/>
  <c r="R160" i="1"/>
  <c r="Q160" i="1"/>
  <c r="P160" i="1"/>
  <c r="V160" i="1" s="1"/>
  <c r="O160" i="1"/>
  <c r="N160" i="1"/>
  <c r="M160" i="1"/>
  <c r="L160" i="1"/>
  <c r="B160" i="1"/>
  <c r="A160" i="1"/>
  <c r="T159" i="1"/>
  <c r="S159" i="1"/>
  <c r="R159" i="1"/>
  <c r="O159" i="1"/>
  <c r="N159" i="1"/>
  <c r="M159" i="1"/>
  <c r="B159" i="1"/>
  <c r="A159" i="1"/>
  <c r="W158" i="1"/>
  <c r="X158" i="1" s="1"/>
  <c r="V158" i="1"/>
  <c r="U158" i="1"/>
  <c r="T158" i="1"/>
  <c r="S158" i="1"/>
  <c r="R158" i="1"/>
  <c r="P158" i="1"/>
  <c r="O158" i="1"/>
  <c r="N158" i="1"/>
  <c r="M158" i="1"/>
  <c r="L158" i="1"/>
  <c r="B158" i="1"/>
  <c r="Q158" i="1" s="1"/>
  <c r="A158" i="1"/>
  <c r="W157" i="1"/>
  <c r="X157" i="1" s="1"/>
  <c r="U157" i="1"/>
  <c r="T157" i="1"/>
  <c r="S157" i="1"/>
  <c r="R157" i="1"/>
  <c r="P157" i="1"/>
  <c r="V157" i="1" s="1"/>
  <c r="O157" i="1"/>
  <c r="N157" i="1"/>
  <c r="M157" i="1"/>
  <c r="B157" i="1"/>
  <c r="L157" i="1" s="1"/>
  <c r="A157" i="1"/>
  <c r="T156" i="1"/>
  <c r="S156" i="1"/>
  <c r="R156" i="1"/>
  <c r="O156" i="1"/>
  <c r="N156" i="1"/>
  <c r="M156" i="1"/>
  <c r="L156" i="1"/>
  <c r="B156" i="1"/>
  <c r="A156" i="1"/>
  <c r="W155" i="1"/>
  <c r="X155" i="1" s="1"/>
  <c r="T155" i="1"/>
  <c r="S155" i="1"/>
  <c r="R155" i="1"/>
  <c r="O155" i="1"/>
  <c r="N155" i="1"/>
  <c r="M155" i="1"/>
  <c r="L155" i="1"/>
  <c r="B155" i="1"/>
  <c r="A155" i="1"/>
  <c r="W154" i="1"/>
  <c r="X154" i="1" s="1"/>
  <c r="V154" i="1"/>
  <c r="U154" i="1"/>
  <c r="T154" i="1"/>
  <c r="S154" i="1"/>
  <c r="R154" i="1"/>
  <c r="P154" i="1"/>
  <c r="O154" i="1"/>
  <c r="N154" i="1"/>
  <c r="M154" i="1"/>
  <c r="L154" i="1"/>
  <c r="B154" i="1"/>
  <c r="A154" i="1"/>
  <c r="T153" i="1"/>
  <c r="S153" i="1"/>
  <c r="R153" i="1"/>
  <c r="P153" i="1"/>
  <c r="O153" i="1"/>
  <c r="N153" i="1"/>
  <c r="M153" i="1"/>
  <c r="B153" i="1"/>
  <c r="L153" i="1" s="1"/>
  <c r="A153" i="1"/>
  <c r="T152" i="1"/>
  <c r="S152" i="1"/>
  <c r="R152" i="1"/>
  <c r="O152" i="1"/>
  <c r="N152" i="1"/>
  <c r="M152" i="1"/>
  <c r="B152" i="1"/>
  <c r="A152" i="1"/>
  <c r="W151" i="1"/>
  <c r="X151" i="1" s="1"/>
  <c r="T151" i="1"/>
  <c r="S151" i="1"/>
  <c r="R151" i="1"/>
  <c r="O151" i="1"/>
  <c r="N151" i="1"/>
  <c r="M151" i="1"/>
  <c r="B151" i="1"/>
  <c r="A151" i="1"/>
  <c r="T150" i="1"/>
  <c r="S150" i="1"/>
  <c r="R150" i="1"/>
  <c r="P150" i="1"/>
  <c r="O150" i="1"/>
  <c r="N150" i="1"/>
  <c r="M150" i="1"/>
  <c r="B150" i="1"/>
  <c r="A150" i="1"/>
  <c r="T149" i="1"/>
  <c r="S149" i="1"/>
  <c r="R149" i="1"/>
  <c r="O149" i="1"/>
  <c r="N149" i="1"/>
  <c r="M149" i="1"/>
  <c r="B149" i="1"/>
  <c r="L149" i="1" s="1"/>
  <c r="A149" i="1"/>
  <c r="W148" i="1"/>
  <c r="X148" i="1" s="1"/>
  <c r="T148" i="1"/>
  <c r="S148" i="1"/>
  <c r="R148" i="1"/>
  <c r="O148" i="1"/>
  <c r="N148" i="1"/>
  <c r="M148" i="1"/>
  <c r="L148" i="1"/>
  <c r="B148" i="1"/>
  <c r="A148" i="1"/>
  <c r="W147" i="1"/>
  <c r="X147" i="1" s="1"/>
  <c r="T147" i="1"/>
  <c r="S147" i="1"/>
  <c r="R147" i="1"/>
  <c r="Q147" i="1"/>
  <c r="P147" i="1"/>
  <c r="U147" i="1" s="1"/>
  <c r="O147" i="1"/>
  <c r="N147" i="1"/>
  <c r="M147" i="1"/>
  <c r="L147" i="1"/>
  <c r="B147" i="1"/>
  <c r="A147" i="1"/>
  <c r="T146" i="1"/>
  <c r="S146" i="1"/>
  <c r="R146" i="1"/>
  <c r="O146" i="1"/>
  <c r="N146" i="1"/>
  <c r="M146" i="1"/>
  <c r="B146" i="1"/>
  <c r="A146" i="1"/>
  <c r="W145" i="1"/>
  <c r="X145" i="1" s="1"/>
  <c r="T145" i="1"/>
  <c r="S145" i="1"/>
  <c r="R145" i="1"/>
  <c r="O145" i="1"/>
  <c r="N145" i="1"/>
  <c r="M145" i="1"/>
  <c r="B145" i="1"/>
  <c r="L145" i="1" s="1"/>
  <c r="A145" i="1"/>
  <c r="W144" i="1"/>
  <c r="X144" i="1" s="1"/>
  <c r="V144" i="1"/>
  <c r="T144" i="1"/>
  <c r="S144" i="1"/>
  <c r="R144" i="1"/>
  <c r="P144" i="1"/>
  <c r="Q144" i="1" s="1"/>
  <c r="O144" i="1"/>
  <c r="N144" i="1"/>
  <c r="M144" i="1"/>
  <c r="B144" i="1"/>
  <c r="L144" i="1" s="1"/>
  <c r="A144" i="1"/>
  <c r="T143" i="1"/>
  <c r="S143" i="1"/>
  <c r="R143" i="1"/>
  <c r="P143" i="1"/>
  <c r="O143" i="1"/>
  <c r="N143" i="1"/>
  <c r="M143" i="1"/>
  <c r="B143" i="1"/>
  <c r="A143" i="1"/>
  <c r="T142" i="1"/>
  <c r="S142" i="1"/>
  <c r="R142" i="1"/>
  <c r="O142" i="1"/>
  <c r="N142" i="1"/>
  <c r="M142" i="1"/>
  <c r="L142" i="1"/>
  <c r="B142" i="1"/>
  <c r="A142" i="1"/>
  <c r="W141" i="1"/>
  <c r="X141" i="1" s="1"/>
  <c r="T141" i="1"/>
  <c r="S141" i="1"/>
  <c r="R141" i="1"/>
  <c r="O141" i="1"/>
  <c r="N141" i="1"/>
  <c r="M141" i="1"/>
  <c r="B141" i="1"/>
  <c r="L141" i="1" s="1"/>
  <c r="A141" i="1"/>
  <c r="W140" i="1"/>
  <c r="X140" i="1" s="1"/>
  <c r="T140" i="1"/>
  <c r="S140" i="1"/>
  <c r="R140" i="1"/>
  <c r="Q140" i="1"/>
  <c r="P140" i="1"/>
  <c r="V140" i="1" s="1"/>
  <c r="O140" i="1"/>
  <c r="N140" i="1"/>
  <c r="M140" i="1"/>
  <c r="L140" i="1"/>
  <c r="B140" i="1"/>
  <c r="A140" i="1"/>
  <c r="T139" i="1"/>
  <c r="S139" i="1"/>
  <c r="R139" i="1"/>
  <c r="O139" i="1"/>
  <c r="N139" i="1"/>
  <c r="M139" i="1"/>
  <c r="B139" i="1"/>
  <c r="L139" i="1" s="1"/>
  <c r="A139" i="1"/>
  <c r="W138" i="1"/>
  <c r="X138" i="1" s="1"/>
  <c r="T138" i="1"/>
  <c r="S138" i="1"/>
  <c r="R138" i="1"/>
  <c r="O138" i="1"/>
  <c r="N138" i="1"/>
  <c r="M138" i="1"/>
  <c r="L138" i="1"/>
  <c r="B138" i="1"/>
  <c r="A138" i="1"/>
  <c r="W137" i="1"/>
  <c r="X137" i="1" s="1"/>
  <c r="V137" i="1"/>
  <c r="T137" i="1"/>
  <c r="S137" i="1"/>
  <c r="R137" i="1"/>
  <c r="Q137" i="1"/>
  <c r="P137" i="1"/>
  <c r="U137" i="1" s="1"/>
  <c r="O137" i="1"/>
  <c r="N137" i="1"/>
  <c r="M137" i="1"/>
  <c r="B137" i="1"/>
  <c r="L137" i="1" s="1"/>
  <c r="A137" i="1"/>
  <c r="T136" i="1"/>
  <c r="S136" i="1"/>
  <c r="R136" i="1"/>
  <c r="O136" i="1"/>
  <c r="N136" i="1"/>
  <c r="M136" i="1"/>
  <c r="B136" i="1"/>
  <c r="A136" i="1"/>
  <c r="T135" i="1"/>
  <c r="S135" i="1"/>
  <c r="R135" i="1"/>
  <c r="O135" i="1"/>
  <c r="N135" i="1"/>
  <c r="M135" i="1"/>
  <c r="L135" i="1"/>
  <c r="B135" i="1"/>
  <c r="A135" i="1"/>
  <c r="W134" i="1"/>
  <c r="X134" i="1" s="1"/>
  <c r="T134" i="1"/>
  <c r="S134" i="1"/>
  <c r="R134" i="1"/>
  <c r="O134" i="1"/>
  <c r="N134" i="1"/>
  <c r="M134" i="1"/>
  <c r="B134" i="1"/>
  <c r="A134" i="1"/>
  <c r="T133" i="1"/>
  <c r="S133" i="1"/>
  <c r="R133" i="1"/>
  <c r="Q133" i="1"/>
  <c r="P133" i="1"/>
  <c r="U133" i="1" s="1"/>
  <c r="O133" i="1"/>
  <c r="N133" i="1"/>
  <c r="M133" i="1"/>
  <c r="B133" i="1"/>
  <c r="L133" i="1" s="1"/>
  <c r="A133" i="1"/>
  <c r="T132" i="1"/>
  <c r="S132" i="1"/>
  <c r="R132" i="1"/>
  <c r="O132" i="1"/>
  <c r="N132" i="1"/>
  <c r="M132" i="1"/>
  <c r="B132" i="1"/>
  <c r="A132" i="1"/>
  <c r="W131" i="1"/>
  <c r="X131" i="1" s="1"/>
  <c r="T131" i="1"/>
  <c r="S131" i="1"/>
  <c r="R131" i="1"/>
  <c r="O131" i="1"/>
  <c r="N131" i="1"/>
  <c r="M131" i="1"/>
  <c r="L131" i="1"/>
  <c r="B131" i="1"/>
  <c r="A131" i="1"/>
  <c r="W130" i="1"/>
  <c r="X130" i="1" s="1"/>
  <c r="T130" i="1"/>
  <c r="S130" i="1"/>
  <c r="R130" i="1"/>
  <c r="P130" i="1"/>
  <c r="V130" i="1" s="1"/>
  <c r="O130" i="1"/>
  <c r="N130" i="1"/>
  <c r="M130" i="1"/>
  <c r="B130" i="1"/>
  <c r="A130" i="1"/>
  <c r="T129" i="1"/>
  <c r="S129" i="1"/>
  <c r="R129" i="1"/>
  <c r="P129" i="1"/>
  <c r="O129" i="1"/>
  <c r="N129" i="1"/>
  <c r="M129" i="1"/>
  <c r="B129" i="1"/>
  <c r="L129" i="1" s="1"/>
  <c r="A129" i="1"/>
  <c r="T128" i="1"/>
  <c r="S128" i="1"/>
  <c r="R128" i="1"/>
  <c r="O128" i="1"/>
  <c r="N128" i="1"/>
  <c r="M128" i="1"/>
  <c r="L128" i="1"/>
  <c r="B128" i="1"/>
  <c r="W128" i="1" s="1"/>
  <c r="X128" i="1" s="1"/>
  <c r="A128" i="1"/>
  <c r="W127" i="1"/>
  <c r="X127" i="1" s="1"/>
  <c r="T127" i="1"/>
  <c r="S127" i="1"/>
  <c r="R127" i="1"/>
  <c r="O127" i="1"/>
  <c r="N127" i="1"/>
  <c r="M127" i="1"/>
  <c r="B127" i="1"/>
  <c r="A127" i="1"/>
  <c r="T126" i="1"/>
  <c r="S126" i="1"/>
  <c r="R126" i="1"/>
  <c r="P126" i="1"/>
  <c r="U126" i="1" s="1"/>
  <c r="O126" i="1"/>
  <c r="N126" i="1"/>
  <c r="M126" i="1"/>
  <c r="L126" i="1"/>
  <c r="B126" i="1"/>
  <c r="W126" i="1" s="1"/>
  <c r="X126" i="1" s="1"/>
  <c r="A126" i="1"/>
  <c r="T125" i="1"/>
  <c r="S125" i="1"/>
  <c r="R125" i="1"/>
  <c r="O125" i="1"/>
  <c r="N125" i="1"/>
  <c r="M125" i="1"/>
  <c r="B125" i="1"/>
  <c r="A125" i="1"/>
  <c r="W124" i="1"/>
  <c r="X124" i="1" s="1"/>
  <c r="T124" i="1"/>
  <c r="S124" i="1"/>
  <c r="R124" i="1"/>
  <c r="O124" i="1"/>
  <c r="N124" i="1"/>
  <c r="M124" i="1"/>
  <c r="L124" i="1"/>
  <c r="B124" i="1"/>
  <c r="A124" i="1"/>
  <c r="W123" i="1"/>
  <c r="X123" i="1" s="1"/>
  <c r="U123" i="1"/>
  <c r="T123" i="1"/>
  <c r="S123" i="1"/>
  <c r="R123" i="1"/>
  <c r="P123" i="1"/>
  <c r="Q123" i="1" s="1"/>
  <c r="O123" i="1"/>
  <c r="N123" i="1"/>
  <c r="M123" i="1"/>
  <c r="B123" i="1"/>
  <c r="A123" i="1"/>
  <c r="T122" i="1"/>
  <c r="S122" i="1"/>
  <c r="R122" i="1"/>
  <c r="O122" i="1"/>
  <c r="N122" i="1"/>
  <c r="M122" i="1"/>
  <c r="B122" i="1"/>
  <c r="P122" i="1" s="1"/>
  <c r="A122" i="1"/>
  <c r="T121" i="1"/>
  <c r="S121" i="1"/>
  <c r="R121" i="1"/>
  <c r="O121" i="1"/>
  <c r="N121" i="1"/>
  <c r="M121" i="1"/>
  <c r="B121" i="1"/>
  <c r="A121" i="1"/>
  <c r="W120" i="1"/>
  <c r="X120" i="1" s="1"/>
  <c r="V120" i="1"/>
  <c r="U120" i="1"/>
  <c r="T120" i="1"/>
  <c r="S120" i="1"/>
  <c r="R120" i="1"/>
  <c r="O120" i="1"/>
  <c r="N120" i="1"/>
  <c r="M120" i="1"/>
  <c r="B120" i="1"/>
  <c r="P120" i="1" s="1"/>
  <c r="Q120" i="1" s="1"/>
  <c r="A120" i="1"/>
  <c r="W119" i="1"/>
  <c r="X119" i="1" s="1"/>
  <c r="T119" i="1"/>
  <c r="S119" i="1"/>
  <c r="R119" i="1"/>
  <c r="P119" i="1"/>
  <c r="V119" i="1" s="1"/>
  <c r="O119" i="1"/>
  <c r="N119" i="1"/>
  <c r="M119" i="1"/>
  <c r="L119" i="1"/>
  <c r="B119" i="1"/>
  <c r="A119" i="1"/>
  <c r="T118" i="1"/>
  <c r="S118" i="1"/>
  <c r="R118" i="1"/>
  <c r="P118" i="1"/>
  <c r="O118" i="1"/>
  <c r="N118" i="1"/>
  <c r="M118" i="1"/>
  <c r="B118" i="1"/>
  <c r="A118" i="1"/>
  <c r="T117" i="1"/>
  <c r="S117" i="1"/>
  <c r="R117" i="1"/>
  <c r="O117" i="1"/>
  <c r="N117" i="1"/>
  <c r="M117" i="1"/>
  <c r="B117" i="1"/>
  <c r="A117" i="1"/>
  <c r="W116" i="1"/>
  <c r="X116" i="1" s="1"/>
  <c r="V116" i="1"/>
  <c r="U116" i="1"/>
  <c r="T116" i="1"/>
  <c r="S116" i="1"/>
  <c r="R116" i="1"/>
  <c r="O116" i="1"/>
  <c r="N116" i="1"/>
  <c r="M116" i="1"/>
  <c r="B116" i="1"/>
  <c r="P116" i="1" s="1"/>
  <c r="Q116" i="1" s="1"/>
  <c r="A116" i="1"/>
  <c r="W115" i="1"/>
  <c r="X115" i="1" s="1"/>
  <c r="T115" i="1"/>
  <c r="S115" i="1"/>
  <c r="R115" i="1"/>
  <c r="Q115" i="1"/>
  <c r="P115" i="1"/>
  <c r="V115" i="1" s="1"/>
  <c r="O115" i="1"/>
  <c r="N115" i="1"/>
  <c r="M115" i="1"/>
  <c r="L115" i="1"/>
  <c r="B115" i="1"/>
  <c r="A115" i="1"/>
  <c r="T114" i="1"/>
  <c r="S114" i="1"/>
  <c r="R114" i="1"/>
  <c r="O114" i="1"/>
  <c r="N114" i="1"/>
  <c r="M114" i="1"/>
  <c r="B114" i="1"/>
  <c r="A114" i="1"/>
  <c r="W113" i="1"/>
  <c r="X113" i="1" s="1"/>
  <c r="T113" i="1"/>
  <c r="S113" i="1"/>
  <c r="R113" i="1"/>
  <c r="O113" i="1"/>
  <c r="N113" i="1"/>
  <c r="M113" i="1"/>
  <c r="B113" i="1"/>
  <c r="A113" i="1"/>
  <c r="W112" i="1"/>
  <c r="X112" i="1" s="1"/>
  <c r="U112" i="1"/>
  <c r="T112" i="1"/>
  <c r="S112" i="1"/>
  <c r="R112" i="1"/>
  <c r="O112" i="1"/>
  <c r="N112" i="1"/>
  <c r="M112" i="1"/>
  <c r="B112" i="1"/>
  <c r="P112" i="1" s="1"/>
  <c r="V112" i="1" s="1"/>
  <c r="A112" i="1"/>
  <c r="W111" i="1"/>
  <c r="X111" i="1" s="1"/>
  <c r="U111" i="1"/>
  <c r="T111" i="1"/>
  <c r="S111" i="1"/>
  <c r="R111" i="1"/>
  <c r="Q111" i="1"/>
  <c r="P111" i="1"/>
  <c r="V111" i="1" s="1"/>
  <c r="O111" i="1"/>
  <c r="N111" i="1"/>
  <c r="M111" i="1"/>
  <c r="L111" i="1"/>
  <c r="B111" i="1"/>
  <c r="A111" i="1"/>
  <c r="T110" i="1"/>
  <c r="S110" i="1"/>
  <c r="R110" i="1"/>
  <c r="P110" i="1"/>
  <c r="O110" i="1"/>
  <c r="N110" i="1"/>
  <c r="M110" i="1"/>
  <c r="L110" i="1"/>
  <c r="B110" i="1"/>
  <c r="A110" i="1"/>
  <c r="T109" i="1"/>
  <c r="S109" i="1"/>
  <c r="R109" i="1"/>
  <c r="O109" i="1"/>
  <c r="N109" i="1"/>
  <c r="M109" i="1"/>
  <c r="B109" i="1"/>
  <c r="A109" i="1"/>
  <c r="W108" i="1"/>
  <c r="X108" i="1" s="1"/>
  <c r="T108" i="1"/>
  <c r="S108" i="1"/>
  <c r="R108" i="1"/>
  <c r="O108" i="1"/>
  <c r="N108" i="1"/>
  <c r="M108" i="1"/>
  <c r="B108" i="1"/>
  <c r="P108" i="1" s="1"/>
  <c r="V108" i="1" s="1"/>
  <c r="A108" i="1"/>
  <c r="W107" i="1"/>
  <c r="X107" i="1" s="1"/>
  <c r="U107" i="1"/>
  <c r="T107" i="1"/>
  <c r="S107" i="1"/>
  <c r="R107" i="1"/>
  <c r="P107" i="1"/>
  <c r="V107" i="1" s="1"/>
  <c r="O107" i="1"/>
  <c r="N107" i="1"/>
  <c r="M107" i="1"/>
  <c r="L107" i="1"/>
  <c r="B107" i="1"/>
  <c r="A107" i="1"/>
  <c r="T106" i="1"/>
  <c r="S106" i="1"/>
  <c r="R106" i="1"/>
  <c r="O106" i="1"/>
  <c r="N106" i="1"/>
  <c r="M106" i="1"/>
  <c r="B106" i="1"/>
  <c r="A106" i="1"/>
  <c r="T105" i="1"/>
  <c r="S105" i="1"/>
  <c r="R105" i="1"/>
  <c r="O105" i="1"/>
  <c r="N105" i="1"/>
  <c r="M105" i="1"/>
  <c r="B105" i="1"/>
  <c r="A105" i="1"/>
  <c r="W104" i="1"/>
  <c r="X104" i="1" s="1"/>
  <c r="U104" i="1"/>
  <c r="T104" i="1"/>
  <c r="S104" i="1"/>
  <c r="R104" i="1"/>
  <c r="Q104" i="1"/>
  <c r="O104" i="1"/>
  <c r="N104" i="1"/>
  <c r="M104" i="1"/>
  <c r="B104" i="1"/>
  <c r="P104" i="1" s="1"/>
  <c r="V104" i="1" s="1"/>
  <c r="A104" i="1"/>
  <c r="W103" i="1"/>
  <c r="X103" i="1" s="1"/>
  <c r="T103" i="1"/>
  <c r="S103" i="1"/>
  <c r="R103" i="1"/>
  <c r="P103" i="1"/>
  <c r="V103" i="1" s="1"/>
  <c r="O103" i="1"/>
  <c r="N103" i="1"/>
  <c r="M103" i="1"/>
  <c r="L103" i="1"/>
  <c r="B103" i="1"/>
  <c r="A103" i="1"/>
  <c r="T102" i="1"/>
  <c r="S102" i="1"/>
  <c r="R102" i="1"/>
  <c r="O102" i="1"/>
  <c r="N102" i="1"/>
  <c r="M102" i="1"/>
  <c r="B102" i="1"/>
  <c r="A102" i="1"/>
  <c r="W101" i="1"/>
  <c r="X101" i="1" s="1"/>
  <c r="T101" i="1"/>
  <c r="S101" i="1"/>
  <c r="R101" i="1"/>
  <c r="O101" i="1"/>
  <c r="N101" i="1"/>
  <c r="M101" i="1"/>
  <c r="B101" i="1"/>
  <c r="A101" i="1"/>
  <c r="W100" i="1"/>
  <c r="X100" i="1" s="1"/>
  <c r="T100" i="1"/>
  <c r="S100" i="1"/>
  <c r="R100" i="1"/>
  <c r="Q100" i="1"/>
  <c r="O100" i="1"/>
  <c r="N100" i="1"/>
  <c r="M100" i="1"/>
  <c r="B100" i="1"/>
  <c r="P100" i="1" s="1"/>
  <c r="V100" i="1" s="1"/>
  <c r="A100" i="1"/>
  <c r="W99" i="1"/>
  <c r="X99" i="1" s="1"/>
  <c r="U99" i="1"/>
  <c r="T99" i="1"/>
  <c r="S99" i="1"/>
  <c r="R99" i="1"/>
  <c r="Q99" i="1"/>
  <c r="P99" i="1"/>
  <c r="V99" i="1" s="1"/>
  <c r="O99" i="1"/>
  <c r="N99" i="1"/>
  <c r="M99" i="1"/>
  <c r="L99" i="1"/>
  <c r="B99" i="1"/>
  <c r="A99" i="1"/>
  <c r="T98" i="1"/>
  <c r="S98" i="1"/>
  <c r="R98" i="1"/>
  <c r="O98" i="1"/>
  <c r="N98" i="1"/>
  <c r="M98" i="1"/>
  <c r="B98" i="1"/>
  <c r="P98" i="1" s="1"/>
  <c r="A98" i="1"/>
  <c r="T97" i="1"/>
  <c r="S97" i="1"/>
  <c r="R97" i="1"/>
  <c r="O97" i="1"/>
  <c r="N97" i="1"/>
  <c r="M97" i="1"/>
  <c r="B97" i="1"/>
  <c r="A97" i="1"/>
  <c r="W96" i="1"/>
  <c r="X96" i="1" s="1"/>
  <c r="T96" i="1"/>
  <c r="S96" i="1"/>
  <c r="R96" i="1"/>
  <c r="Q96" i="1"/>
  <c r="O96" i="1"/>
  <c r="N96" i="1"/>
  <c r="M96" i="1"/>
  <c r="B96" i="1"/>
  <c r="P96" i="1" s="1"/>
  <c r="V96" i="1" s="1"/>
  <c r="A96" i="1"/>
  <c r="W95" i="1"/>
  <c r="X95" i="1" s="1"/>
  <c r="T95" i="1"/>
  <c r="S95" i="1"/>
  <c r="R95" i="1"/>
  <c r="Q95" i="1"/>
  <c r="P95" i="1"/>
  <c r="V95" i="1" s="1"/>
  <c r="O95" i="1"/>
  <c r="N95" i="1"/>
  <c r="M95" i="1"/>
  <c r="L95" i="1"/>
  <c r="B95" i="1"/>
  <c r="A95" i="1"/>
  <c r="W94" i="1"/>
  <c r="X94" i="1" s="1"/>
  <c r="T94" i="1"/>
  <c r="S94" i="1"/>
  <c r="R94" i="1"/>
  <c r="P94" i="1"/>
  <c r="O94" i="1"/>
  <c r="N94" i="1"/>
  <c r="M94" i="1"/>
  <c r="B94" i="1"/>
  <c r="A94" i="1"/>
  <c r="T93" i="1"/>
  <c r="S93" i="1"/>
  <c r="R93" i="1"/>
  <c r="O93" i="1"/>
  <c r="N93" i="1"/>
  <c r="M93" i="1"/>
  <c r="B93" i="1"/>
  <c r="W93" i="1" s="1"/>
  <c r="X93" i="1" s="1"/>
  <c r="A93" i="1"/>
  <c r="W92" i="1"/>
  <c r="X92" i="1" s="1"/>
  <c r="V92" i="1"/>
  <c r="T92" i="1"/>
  <c r="S92" i="1"/>
  <c r="R92" i="1"/>
  <c r="Q92" i="1"/>
  <c r="O92" i="1"/>
  <c r="N92" i="1"/>
  <c r="M92" i="1"/>
  <c r="B92" i="1"/>
  <c r="P92" i="1" s="1"/>
  <c r="U92" i="1" s="1"/>
  <c r="A92" i="1"/>
  <c r="W91" i="1"/>
  <c r="X91" i="1" s="1"/>
  <c r="U91" i="1"/>
  <c r="T91" i="1"/>
  <c r="S91" i="1"/>
  <c r="R91" i="1"/>
  <c r="P91" i="1"/>
  <c r="V91" i="1" s="1"/>
  <c r="O91" i="1"/>
  <c r="N91" i="1"/>
  <c r="M91" i="1"/>
  <c r="L91" i="1"/>
  <c r="B91" i="1"/>
  <c r="A91" i="1"/>
  <c r="W90" i="1"/>
  <c r="X90" i="1" s="1"/>
  <c r="T90" i="1"/>
  <c r="S90" i="1"/>
  <c r="R90" i="1"/>
  <c r="O90" i="1"/>
  <c r="N90" i="1"/>
  <c r="M90" i="1"/>
  <c r="L90" i="1"/>
  <c r="B90" i="1"/>
  <c r="P90" i="1" s="1"/>
  <c r="A90" i="1"/>
  <c r="T89" i="1"/>
  <c r="S89" i="1"/>
  <c r="R89" i="1"/>
  <c r="O89" i="1"/>
  <c r="N89" i="1"/>
  <c r="M89" i="1"/>
  <c r="B89" i="1"/>
  <c r="A89" i="1"/>
  <c r="W88" i="1"/>
  <c r="X88" i="1" s="1"/>
  <c r="V88" i="1"/>
  <c r="U88" i="1"/>
  <c r="T88" i="1"/>
  <c r="S88" i="1"/>
  <c r="R88" i="1"/>
  <c r="Q88" i="1"/>
  <c r="O88" i="1"/>
  <c r="N88" i="1"/>
  <c r="M88" i="1"/>
  <c r="B88" i="1"/>
  <c r="P88" i="1" s="1"/>
  <c r="A88" i="1"/>
  <c r="W87" i="1"/>
  <c r="X87" i="1" s="1"/>
  <c r="T87" i="1"/>
  <c r="S87" i="1"/>
  <c r="R87" i="1"/>
  <c r="P87" i="1"/>
  <c r="V87" i="1" s="1"/>
  <c r="O87" i="1"/>
  <c r="N87" i="1"/>
  <c r="M87" i="1"/>
  <c r="L87" i="1"/>
  <c r="B87" i="1"/>
  <c r="A87" i="1"/>
  <c r="W86" i="1"/>
  <c r="X86" i="1" s="1"/>
  <c r="T86" i="1"/>
  <c r="S86" i="1"/>
  <c r="R86" i="1"/>
  <c r="O86" i="1"/>
  <c r="N86" i="1"/>
  <c r="M86" i="1"/>
  <c r="B86" i="1"/>
  <c r="A86" i="1"/>
  <c r="T85" i="1"/>
  <c r="S85" i="1"/>
  <c r="R85" i="1"/>
  <c r="O85" i="1"/>
  <c r="N85" i="1"/>
  <c r="M85" i="1"/>
  <c r="B85" i="1"/>
  <c r="W85" i="1" s="1"/>
  <c r="X85" i="1" s="1"/>
  <c r="A85" i="1"/>
  <c r="T84" i="1"/>
  <c r="S84" i="1"/>
  <c r="R84" i="1"/>
  <c r="O84" i="1"/>
  <c r="N84" i="1"/>
  <c r="M84" i="1"/>
  <c r="B84" i="1"/>
  <c r="A84" i="1"/>
  <c r="W83" i="1"/>
  <c r="X83" i="1" s="1"/>
  <c r="U83" i="1"/>
  <c r="T83" i="1"/>
  <c r="S83" i="1"/>
  <c r="R83" i="1"/>
  <c r="P83" i="1"/>
  <c r="V83" i="1" s="1"/>
  <c r="O83" i="1"/>
  <c r="N83" i="1"/>
  <c r="M83" i="1"/>
  <c r="L83" i="1"/>
  <c r="B83" i="1"/>
  <c r="A83" i="1"/>
  <c r="W82" i="1"/>
  <c r="X82" i="1" s="1"/>
  <c r="T82" i="1"/>
  <c r="S82" i="1"/>
  <c r="R82" i="1"/>
  <c r="P82" i="1"/>
  <c r="U82" i="1" s="1"/>
  <c r="O82" i="1"/>
  <c r="N82" i="1"/>
  <c r="M82" i="1"/>
  <c r="L82" i="1"/>
  <c r="B82" i="1"/>
  <c r="A82" i="1"/>
  <c r="T81" i="1"/>
  <c r="S81" i="1"/>
  <c r="R81" i="1"/>
  <c r="O81" i="1"/>
  <c r="N81" i="1"/>
  <c r="M81" i="1"/>
  <c r="B81" i="1"/>
  <c r="A81" i="1"/>
  <c r="T80" i="1"/>
  <c r="S80" i="1"/>
  <c r="R80" i="1"/>
  <c r="O80" i="1"/>
  <c r="N80" i="1"/>
  <c r="M80" i="1"/>
  <c r="B80" i="1"/>
  <c r="W80" i="1" s="1"/>
  <c r="X80" i="1" s="1"/>
  <c r="A80" i="1"/>
  <c r="W79" i="1"/>
  <c r="X79" i="1" s="1"/>
  <c r="T79" i="1"/>
  <c r="S79" i="1"/>
  <c r="R79" i="1"/>
  <c r="Q79" i="1"/>
  <c r="P79" i="1"/>
  <c r="V79" i="1" s="1"/>
  <c r="O79" i="1"/>
  <c r="N79" i="1"/>
  <c r="M79" i="1"/>
  <c r="L79" i="1"/>
  <c r="B79" i="1"/>
  <c r="A79" i="1"/>
  <c r="W78" i="1"/>
  <c r="X78" i="1" s="1"/>
  <c r="T78" i="1"/>
  <c r="S78" i="1"/>
  <c r="R78" i="1"/>
  <c r="O78" i="1"/>
  <c r="N78" i="1"/>
  <c r="M78" i="1"/>
  <c r="B78" i="1"/>
  <c r="A78" i="1"/>
  <c r="W77" i="1"/>
  <c r="X77" i="1" s="1"/>
  <c r="V77" i="1"/>
  <c r="T77" i="1"/>
  <c r="S77" i="1"/>
  <c r="R77" i="1"/>
  <c r="P77" i="1"/>
  <c r="O77" i="1"/>
  <c r="N77" i="1"/>
  <c r="M77" i="1"/>
  <c r="B77" i="1"/>
  <c r="A77" i="1"/>
  <c r="T76" i="1"/>
  <c r="S76" i="1"/>
  <c r="R76" i="1"/>
  <c r="O76" i="1"/>
  <c r="N76" i="1"/>
  <c r="M76" i="1"/>
  <c r="B76" i="1"/>
  <c r="A76" i="1"/>
  <c r="W75" i="1"/>
  <c r="X75" i="1" s="1"/>
  <c r="V75" i="1"/>
  <c r="T75" i="1"/>
  <c r="S75" i="1"/>
  <c r="R75" i="1"/>
  <c r="P75" i="1"/>
  <c r="U75" i="1" s="1"/>
  <c r="O75" i="1"/>
  <c r="N75" i="1"/>
  <c r="M75" i="1"/>
  <c r="L75" i="1"/>
  <c r="B75" i="1"/>
  <c r="A75" i="1"/>
  <c r="T74" i="1"/>
  <c r="S74" i="1"/>
  <c r="R74" i="1"/>
  <c r="O74" i="1"/>
  <c r="N74" i="1"/>
  <c r="M74" i="1"/>
  <c r="B74" i="1"/>
  <c r="W74" i="1" s="1"/>
  <c r="X74" i="1" s="1"/>
  <c r="A74" i="1"/>
  <c r="T73" i="1"/>
  <c r="S73" i="1"/>
  <c r="R73" i="1"/>
  <c r="O73" i="1"/>
  <c r="N73" i="1"/>
  <c r="M73" i="1"/>
  <c r="B73" i="1"/>
  <c r="W73" i="1" s="1"/>
  <c r="X73" i="1" s="1"/>
  <c r="A73" i="1"/>
  <c r="W72" i="1"/>
  <c r="X72" i="1" s="1"/>
  <c r="T72" i="1"/>
  <c r="S72" i="1"/>
  <c r="R72" i="1"/>
  <c r="O72" i="1"/>
  <c r="N72" i="1"/>
  <c r="M72" i="1"/>
  <c r="B72" i="1"/>
  <c r="A72" i="1"/>
  <c r="W71" i="1"/>
  <c r="X71" i="1" s="1"/>
  <c r="T71" i="1"/>
  <c r="S71" i="1"/>
  <c r="R71" i="1"/>
  <c r="P71" i="1"/>
  <c r="Q71" i="1" s="1"/>
  <c r="O71" i="1"/>
  <c r="N71" i="1"/>
  <c r="M71" i="1"/>
  <c r="L71" i="1"/>
  <c r="B71" i="1"/>
  <c r="A71" i="1"/>
  <c r="T70" i="1"/>
  <c r="S70" i="1"/>
  <c r="R70" i="1"/>
  <c r="O70" i="1"/>
  <c r="N70" i="1"/>
  <c r="M70" i="1"/>
  <c r="L70" i="1"/>
  <c r="B70" i="1"/>
  <c r="W70" i="1" s="1"/>
  <c r="X70" i="1" s="1"/>
  <c r="A70" i="1"/>
  <c r="W69" i="1"/>
  <c r="X69" i="1" s="1"/>
  <c r="T69" i="1"/>
  <c r="S69" i="1"/>
  <c r="R69" i="1"/>
  <c r="O69" i="1"/>
  <c r="N69" i="1"/>
  <c r="M69" i="1"/>
  <c r="L69" i="1"/>
  <c r="B69" i="1"/>
  <c r="A69" i="1"/>
  <c r="T68" i="1"/>
  <c r="S68" i="1"/>
  <c r="R68" i="1"/>
  <c r="O68" i="1"/>
  <c r="N68" i="1"/>
  <c r="M68" i="1"/>
  <c r="B68" i="1"/>
  <c r="W68" i="1" s="1"/>
  <c r="X68" i="1" s="1"/>
  <c r="A68" i="1"/>
  <c r="W67" i="1"/>
  <c r="X67" i="1" s="1"/>
  <c r="T67" i="1"/>
  <c r="S67" i="1"/>
  <c r="R67" i="1"/>
  <c r="P67" i="1"/>
  <c r="V67" i="1" s="1"/>
  <c r="O67" i="1"/>
  <c r="N67" i="1"/>
  <c r="M67" i="1"/>
  <c r="L67" i="1"/>
  <c r="B67" i="1"/>
  <c r="A67" i="1"/>
  <c r="T66" i="1"/>
  <c r="S66" i="1"/>
  <c r="R66" i="1"/>
  <c r="O66" i="1"/>
  <c r="N66" i="1"/>
  <c r="M66" i="1"/>
  <c r="L66" i="1"/>
  <c r="B66" i="1"/>
  <c r="A66" i="1"/>
  <c r="W65" i="1"/>
  <c r="X65" i="1" s="1"/>
  <c r="T65" i="1"/>
  <c r="S65" i="1"/>
  <c r="R65" i="1"/>
  <c r="P65" i="1"/>
  <c r="V65" i="1" s="1"/>
  <c r="O65" i="1"/>
  <c r="N65" i="1"/>
  <c r="M65" i="1"/>
  <c r="B65" i="1"/>
  <c r="A65" i="1"/>
  <c r="W64" i="1"/>
  <c r="X64" i="1" s="1"/>
  <c r="T64" i="1"/>
  <c r="S64" i="1"/>
  <c r="R64" i="1"/>
  <c r="O64" i="1"/>
  <c r="N64" i="1"/>
  <c r="M64" i="1"/>
  <c r="B64" i="1"/>
  <c r="A64" i="1"/>
  <c r="W63" i="1"/>
  <c r="X63" i="1" s="1"/>
  <c r="U63" i="1"/>
  <c r="T63" i="1"/>
  <c r="S63" i="1"/>
  <c r="R63" i="1"/>
  <c r="P63" i="1"/>
  <c r="V63" i="1" s="1"/>
  <c r="O63" i="1"/>
  <c r="N63" i="1"/>
  <c r="M63" i="1"/>
  <c r="L63" i="1"/>
  <c r="B63" i="1"/>
  <c r="A63" i="1"/>
  <c r="W62" i="1"/>
  <c r="X62" i="1" s="1"/>
  <c r="T62" i="1"/>
  <c r="S62" i="1"/>
  <c r="R62" i="1"/>
  <c r="O62" i="1"/>
  <c r="N62" i="1"/>
  <c r="M62" i="1"/>
  <c r="B62" i="1"/>
  <c r="A62" i="1"/>
  <c r="T61" i="1"/>
  <c r="S61" i="1"/>
  <c r="R61" i="1"/>
  <c r="O61" i="1"/>
  <c r="N61" i="1"/>
  <c r="M61" i="1"/>
  <c r="L61" i="1"/>
  <c r="B61" i="1"/>
  <c r="W61" i="1" s="1"/>
  <c r="X61" i="1" s="1"/>
  <c r="A61" i="1"/>
  <c r="W60" i="1"/>
  <c r="X60" i="1" s="1"/>
  <c r="T60" i="1"/>
  <c r="S60" i="1"/>
  <c r="R60" i="1"/>
  <c r="O60" i="1"/>
  <c r="N60" i="1"/>
  <c r="M60" i="1"/>
  <c r="B60" i="1"/>
  <c r="A60" i="1"/>
  <c r="W59" i="1"/>
  <c r="X59" i="1" s="1"/>
  <c r="T59" i="1"/>
  <c r="S59" i="1"/>
  <c r="R59" i="1"/>
  <c r="P59" i="1"/>
  <c r="V59" i="1" s="1"/>
  <c r="O59" i="1"/>
  <c r="N59" i="1"/>
  <c r="M59" i="1"/>
  <c r="L59" i="1"/>
  <c r="B59" i="1"/>
  <c r="A59" i="1"/>
  <c r="W58" i="1"/>
  <c r="X58" i="1" s="1"/>
  <c r="T58" i="1"/>
  <c r="S58" i="1"/>
  <c r="R58" i="1"/>
  <c r="Q58" i="1"/>
  <c r="P58" i="1"/>
  <c r="U58" i="1" s="1"/>
  <c r="O58" i="1"/>
  <c r="N58" i="1"/>
  <c r="M58" i="1"/>
  <c r="B58" i="1"/>
  <c r="A58" i="1"/>
  <c r="T57" i="1"/>
  <c r="S57" i="1"/>
  <c r="R57" i="1"/>
  <c r="O57" i="1"/>
  <c r="N57" i="1"/>
  <c r="M57" i="1"/>
  <c r="L57" i="1"/>
  <c r="B57" i="1"/>
  <c r="A57" i="1"/>
  <c r="T56" i="1"/>
  <c r="S56" i="1"/>
  <c r="R56" i="1"/>
  <c r="O56" i="1"/>
  <c r="N56" i="1"/>
  <c r="M56" i="1"/>
  <c r="B56" i="1"/>
  <c r="A56" i="1"/>
  <c r="W55" i="1"/>
  <c r="X55" i="1" s="1"/>
  <c r="V55" i="1"/>
  <c r="U55" i="1"/>
  <c r="T55" i="1"/>
  <c r="S55" i="1"/>
  <c r="R55" i="1"/>
  <c r="Q55" i="1"/>
  <c r="P55" i="1"/>
  <c r="O55" i="1"/>
  <c r="N55" i="1"/>
  <c r="M55" i="1"/>
  <c r="L55" i="1"/>
  <c r="B55" i="1"/>
  <c r="A55" i="1"/>
  <c r="T54" i="1"/>
  <c r="S54" i="1"/>
  <c r="R54" i="1"/>
  <c r="O54" i="1"/>
  <c r="N54" i="1"/>
  <c r="M54" i="1"/>
  <c r="L54" i="1"/>
  <c r="B54" i="1"/>
  <c r="W54" i="1" s="1"/>
  <c r="X54" i="1" s="1"/>
  <c r="A54" i="1"/>
  <c r="W53" i="1"/>
  <c r="X53" i="1" s="1"/>
  <c r="T53" i="1"/>
  <c r="S53" i="1"/>
  <c r="R53" i="1"/>
  <c r="O53" i="1"/>
  <c r="N53" i="1"/>
  <c r="M53" i="1"/>
  <c r="L53" i="1"/>
  <c r="B53" i="1"/>
  <c r="A53" i="1"/>
  <c r="T52" i="1"/>
  <c r="S52" i="1"/>
  <c r="R52" i="1"/>
  <c r="O52" i="1"/>
  <c r="N52" i="1"/>
  <c r="M52" i="1"/>
  <c r="B52" i="1"/>
  <c r="W52" i="1" s="1"/>
  <c r="X52" i="1" s="1"/>
  <c r="A52" i="1"/>
  <c r="W51" i="1"/>
  <c r="X51" i="1" s="1"/>
  <c r="T51" i="1"/>
  <c r="S51" i="1"/>
  <c r="R51" i="1"/>
  <c r="P51" i="1"/>
  <c r="V51" i="1" s="1"/>
  <c r="O51" i="1"/>
  <c r="N51" i="1"/>
  <c r="M51" i="1"/>
  <c r="L51" i="1"/>
  <c r="B51" i="1"/>
  <c r="A51" i="1"/>
  <c r="T50" i="1"/>
  <c r="S50" i="1"/>
  <c r="R50" i="1"/>
  <c r="O50" i="1"/>
  <c r="N50" i="1"/>
  <c r="M50" i="1"/>
  <c r="L50" i="1"/>
  <c r="B50" i="1"/>
  <c r="A50" i="1"/>
  <c r="W49" i="1"/>
  <c r="X49" i="1" s="1"/>
  <c r="T49" i="1"/>
  <c r="S49" i="1"/>
  <c r="R49" i="1"/>
  <c r="P49" i="1"/>
  <c r="V49" i="1" s="1"/>
  <c r="O49" i="1"/>
  <c r="N49" i="1"/>
  <c r="M49" i="1"/>
  <c r="B49" i="1"/>
  <c r="A49" i="1"/>
  <c r="W48" i="1"/>
  <c r="X48" i="1" s="1"/>
  <c r="T48" i="1"/>
  <c r="S48" i="1"/>
  <c r="R48" i="1"/>
  <c r="O48" i="1"/>
  <c r="N48" i="1"/>
  <c r="M48" i="1"/>
  <c r="B48" i="1"/>
  <c r="A48" i="1"/>
  <c r="W47" i="1"/>
  <c r="X47" i="1" s="1"/>
  <c r="U47" i="1"/>
  <c r="T47" i="1"/>
  <c r="S47" i="1"/>
  <c r="R47" i="1"/>
  <c r="P47" i="1"/>
  <c r="V47" i="1" s="1"/>
  <c r="O47" i="1"/>
  <c r="N47" i="1"/>
  <c r="M47" i="1"/>
  <c r="L47" i="1"/>
  <c r="B47" i="1"/>
  <c r="A47" i="1"/>
  <c r="W46" i="1"/>
  <c r="X46" i="1" s="1"/>
  <c r="T46" i="1"/>
  <c r="S46" i="1"/>
  <c r="R46" i="1"/>
  <c r="O46" i="1"/>
  <c r="N46" i="1"/>
  <c r="M46" i="1"/>
  <c r="B46" i="1"/>
  <c r="A46" i="1"/>
  <c r="T45" i="1"/>
  <c r="S45" i="1"/>
  <c r="R45" i="1"/>
  <c r="O45" i="1"/>
  <c r="N45" i="1"/>
  <c r="M45" i="1"/>
  <c r="L45" i="1"/>
  <c r="B45" i="1"/>
  <c r="W45" i="1" s="1"/>
  <c r="X45" i="1" s="1"/>
  <c r="A45" i="1"/>
  <c r="W44" i="1"/>
  <c r="X44" i="1" s="1"/>
  <c r="T44" i="1"/>
  <c r="S44" i="1"/>
  <c r="R44" i="1"/>
  <c r="O44" i="1"/>
  <c r="N44" i="1"/>
  <c r="M44" i="1"/>
  <c r="B44" i="1"/>
  <c r="A44" i="1"/>
  <c r="W43" i="1"/>
  <c r="X43" i="1" s="1"/>
  <c r="T43" i="1"/>
  <c r="S43" i="1"/>
  <c r="R43" i="1"/>
  <c r="P43" i="1"/>
  <c r="V43" i="1" s="1"/>
  <c r="O43" i="1"/>
  <c r="N43" i="1"/>
  <c r="M43" i="1"/>
  <c r="L43" i="1"/>
  <c r="B43" i="1"/>
  <c r="A43" i="1"/>
  <c r="W42" i="1"/>
  <c r="X42" i="1" s="1"/>
  <c r="T42" i="1"/>
  <c r="S42" i="1"/>
  <c r="R42" i="1"/>
  <c r="Q42" i="1"/>
  <c r="P42" i="1"/>
  <c r="U42" i="1" s="1"/>
  <c r="O42" i="1"/>
  <c r="N42" i="1"/>
  <c r="M42" i="1"/>
  <c r="B42" i="1"/>
  <c r="A42" i="1"/>
  <c r="T41" i="1"/>
  <c r="S41" i="1"/>
  <c r="R41" i="1"/>
  <c r="O41" i="1"/>
  <c r="N41" i="1"/>
  <c r="M41" i="1"/>
  <c r="L41" i="1"/>
  <c r="B41" i="1"/>
  <c r="A41" i="1"/>
  <c r="T40" i="1"/>
  <c r="S40" i="1"/>
  <c r="R40" i="1"/>
  <c r="O40" i="1"/>
  <c r="N40" i="1"/>
  <c r="M40" i="1"/>
  <c r="B40" i="1"/>
  <c r="A40" i="1"/>
  <c r="W39" i="1"/>
  <c r="X39" i="1" s="1"/>
  <c r="V39" i="1"/>
  <c r="U39" i="1"/>
  <c r="T39" i="1"/>
  <c r="S39" i="1"/>
  <c r="R39" i="1"/>
  <c r="Q39" i="1"/>
  <c r="P39" i="1"/>
  <c r="O39" i="1"/>
  <c r="N39" i="1"/>
  <c r="M39" i="1"/>
  <c r="L39" i="1"/>
  <c r="B39" i="1"/>
  <c r="A39" i="1"/>
  <c r="T38" i="1"/>
  <c r="S38" i="1"/>
  <c r="R38" i="1"/>
  <c r="O38" i="1"/>
  <c r="N38" i="1"/>
  <c r="M38" i="1"/>
  <c r="L38" i="1"/>
  <c r="B38" i="1"/>
  <c r="W38" i="1" s="1"/>
  <c r="X38" i="1" s="1"/>
  <c r="A38" i="1"/>
  <c r="W37" i="1"/>
  <c r="X37" i="1" s="1"/>
  <c r="T37" i="1"/>
  <c r="S37" i="1"/>
  <c r="R37" i="1"/>
  <c r="O37" i="1"/>
  <c r="N37" i="1"/>
  <c r="M37" i="1"/>
  <c r="L37" i="1"/>
  <c r="B37" i="1"/>
  <c r="A37" i="1"/>
  <c r="T36" i="1"/>
  <c r="S36" i="1"/>
  <c r="R36" i="1"/>
  <c r="O36" i="1"/>
  <c r="N36" i="1"/>
  <c r="M36" i="1"/>
  <c r="B36" i="1"/>
  <c r="W36" i="1" s="1"/>
  <c r="X36" i="1" s="1"/>
  <c r="A36" i="1"/>
  <c r="W35" i="1"/>
  <c r="X35" i="1" s="1"/>
  <c r="T35" i="1"/>
  <c r="S35" i="1"/>
  <c r="R35" i="1"/>
  <c r="P35" i="1"/>
  <c r="V35" i="1" s="1"/>
  <c r="O35" i="1"/>
  <c r="N35" i="1"/>
  <c r="M35" i="1"/>
  <c r="L35" i="1"/>
  <c r="B35" i="1"/>
  <c r="A35" i="1"/>
  <c r="T34" i="1"/>
  <c r="S34" i="1"/>
  <c r="R34" i="1"/>
  <c r="O34" i="1"/>
  <c r="N34" i="1"/>
  <c r="M34" i="1"/>
  <c r="L34" i="1"/>
  <c r="B34" i="1"/>
  <c r="A34" i="1"/>
  <c r="W33" i="1"/>
  <c r="X33" i="1" s="1"/>
  <c r="T33" i="1"/>
  <c r="S33" i="1"/>
  <c r="R33" i="1"/>
  <c r="O33" i="1"/>
  <c r="N33" i="1"/>
  <c r="M33" i="1"/>
  <c r="L33" i="1"/>
  <c r="B33" i="1"/>
  <c r="A33" i="1"/>
  <c r="T32" i="1"/>
  <c r="S32" i="1"/>
  <c r="R32" i="1"/>
  <c r="O32" i="1"/>
  <c r="N32" i="1"/>
  <c r="M32" i="1"/>
  <c r="B32" i="1"/>
  <c r="P32" i="1" s="1"/>
  <c r="A32" i="1"/>
  <c r="W31" i="1"/>
  <c r="X31" i="1" s="1"/>
  <c r="T31" i="1"/>
  <c r="S31" i="1"/>
  <c r="R31" i="1"/>
  <c r="Q31" i="1"/>
  <c r="P31" i="1"/>
  <c r="V31" i="1" s="1"/>
  <c r="O31" i="1"/>
  <c r="N31" i="1"/>
  <c r="M31" i="1"/>
  <c r="L31" i="1"/>
  <c r="B31" i="1"/>
  <c r="A31" i="1"/>
  <c r="T30" i="1"/>
  <c r="S30" i="1"/>
  <c r="R30" i="1"/>
  <c r="O30" i="1"/>
  <c r="N30" i="1"/>
  <c r="M30" i="1"/>
  <c r="L30" i="1"/>
  <c r="B30" i="1"/>
  <c r="W30" i="1" s="1"/>
  <c r="X30" i="1" s="1"/>
  <c r="A30" i="1"/>
  <c r="W29" i="1"/>
  <c r="X29" i="1" s="1"/>
  <c r="T29" i="1"/>
  <c r="S29" i="1"/>
  <c r="R29" i="1"/>
  <c r="P29" i="1"/>
  <c r="Q29" i="1" s="1"/>
  <c r="O29" i="1"/>
  <c r="N29" i="1"/>
  <c r="M29" i="1"/>
  <c r="L29" i="1"/>
  <c r="B29" i="1"/>
  <c r="A29" i="1"/>
  <c r="V28" i="1"/>
  <c r="U28" i="1"/>
  <c r="T28" i="1"/>
  <c r="S28" i="1"/>
  <c r="R28" i="1"/>
  <c r="Q28" i="1"/>
  <c r="O28" i="1"/>
  <c r="N28" i="1"/>
  <c r="M28" i="1"/>
  <c r="L28" i="1"/>
  <c r="B28" i="1"/>
  <c r="P28" i="1" s="1"/>
  <c r="A28" i="1"/>
  <c r="W27" i="1"/>
  <c r="X27" i="1" s="1"/>
  <c r="U27" i="1"/>
  <c r="T27" i="1"/>
  <c r="S27" i="1"/>
  <c r="R27" i="1"/>
  <c r="P27" i="1"/>
  <c r="V27" i="1" s="1"/>
  <c r="O27" i="1"/>
  <c r="N27" i="1"/>
  <c r="M27" i="1"/>
  <c r="L27" i="1"/>
  <c r="B27" i="1"/>
  <c r="A27" i="1"/>
  <c r="W26" i="1"/>
  <c r="X26" i="1" s="1"/>
  <c r="V26" i="1"/>
  <c r="T26" i="1"/>
  <c r="S26" i="1"/>
  <c r="R26" i="1"/>
  <c r="P26" i="1"/>
  <c r="O26" i="1"/>
  <c r="N26" i="1"/>
  <c r="M26" i="1"/>
  <c r="B26" i="1"/>
  <c r="U26" i="1" s="1"/>
  <c r="A26" i="1"/>
  <c r="W25" i="1"/>
  <c r="X25" i="1" s="1"/>
  <c r="T25" i="1"/>
  <c r="S25" i="1"/>
  <c r="R25" i="1"/>
  <c r="P25" i="1"/>
  <c r="Q25" i="1" s="1"/>
  <c r="O25" i="1"/>
  <c r="N25" i="1"/>
  <c r="M25" i="1"/>
  <c r="B25" i="1"/>
  <c r="A25" i="1"/>
  <c r="T24" i="1"/>
  <c r="S24" i="1"/>
  <c r="R24" i="1"/>
  <c r="O24" i="1"/>
  <c r="N24" i="1"/>
  <c r="M24" i="1"/>
  <c r="B24" i="1"/>
  <c r="P24" i="1" s="1"/>
  <c r="A24" i="1"/>
  <c r="T23" i="1"/>
  <c r="S23" i="1"/>
  <c r="R23" i="1"/>
  <c r="O23" i="1"/>
  <c r="N23" i="1"/>
  <c r="M23" i="1"/>
  <c r="B23" i="1"/>
  <c r="A23" i="1"/>
  <c r="W22" i="1"/>
  <c r="X22" i="1" s="1"/>
  <c r="T22" i="1"/>
  <c r="S22" i="1"/>
  <c r="R22" i="1"/>
  <c r="O22" i="1"/>
  <c r="N22" i="1"/>
  <c r="M22" i="1"/>
  <c r="L22" i="1"/>
  <c r="B22" i="1"/>
  <c r="P22" i="1" s="1"/>
  <c r="A22" i="1"/>
  <c r="W21" i="1"/>
  <c r="X21" i="1" s="1"/>
  <c r="T21" i="1"/>
  <c r="S21" i="1"/>
  <c r="R21" i="1"/>
  <c r="P21" i="1"/>
  <c r="U21" i="1" s="1"/>
  <c r="O21" i="1"/>
  <c r="N21" i="1"/>
  <c r="M21" i="1"/>
  <c r="L21" i="1"/>
  <c r="B21" i="1"/>
  <c r="A21" i="1"/>
  <c r="T20" i="1"/>
  <c r="S20" i="1"/>
  <c r="R20" i="1"/>
  <c r="O20" i="1"/>
  <c r="N20" i="1"/>
  <c r="M20" i="1"/>
  <c r="B20" i="1"/>
  <c r="W20" i="1" s="1"/>
  <c r="X20" i="1" s="1"/>
  <c r="A20" i="1"/>
  <c r="W19" i="1"/>
  <c r="X19" i="1" s="1"/>
  <c r="T19" i="1"/>
  <c r="S19" i="1"/>
  <c r="R19" i="1"/>
  <c r="O19" i="1"/>
  <c r="N19" i="1"/>
  <c r="M19" i="1"/>
  <c r="B19" i="1"/>
  <c r="A19" i="1"/>
  <c r="W18" i="1"/>
  <c r="X18" i="1" s="1"/>
  <c r="T18" i="1"/>
  <c r="S18" i="1"/>
  <c r="R18" i="1"/>
  <c r="O18" i="1"/>
  <c r="N18" i="1"/>
  <c r="M18" i="1"/>
  <c r="L18" i="1"/>
  <c r="B18" i="1"/>
  <c r="P18" i="1" s="1"/>
  <c r="A18" i="1"/>
  <c r="W17" i="1"/>
  <c r="X17" i="1" s="1"/>
  <c r="T17" i="1"/>
  <c r="S17" i="1"/>
  <c r="R17" i="1"/>
  <c r="P17" i="1"/>
  <c r="U17" i="1" s="1"/>
  <c r="O17" i="1"/>
  <c r="N17" i="1"/>
  <c r="M17" i="1"/>
  <c r="L17" i="1"/>
  <c r="B17" i="1"/>
  <c r="A17" i="1"/>
  <c r="T16" i="1"/>
  <c r="S16" i="1"/>
  <c r="R16" i="1"/>
  <c r="O16" i="1"/>
  <c r="N16" i="1"/>
  <c r="M16" i="1"/>
  <c r="B16" i="1"/>
  <c r="W16" i="1" s="1"/>
  <c r="X16" i="1" s="1"/>
  <c r="A16" i="1"/>
  <c r="W15" i="1"/>
  <c r="X15" i="1" s="1"/>
  <c r="T15" i="1"/>
  <c r="S15" i="1"/>
  <c r="R15" i="1"/>
  <c r="O15" i="1"/>
  <c r="N15" i="1"/>
  <c r="M15" i="1"/>
  <c r="B15" i="1"/>
  <c r="A15" i="1"/>
  <c r="W14" i="1"/>
  <c r="X14" i="1" s="1"/>
  <c r="T14" i="1"/>
  <c r="S14" i="1"/>
  <c r="R14" i="1"/>
  <c r="O14" i="1"/>
  <c r="N14" i="1"/>
  <c r="M14" i="1"/>
  <c r="L14" i="1"/>
  <c r="B14" i="1"/>
  <c r="P14" i="1" s="1"/>
  <c r="A14" i="1"/>
  <c r="W13" i="1"/>
  <c r="X13" i="1" s="1"/>
  <c r="T13" i="1"/>
  <c r="S13" i="1"/>
  <c r="R13" i="1"/>
  <c r="P13" i="1"/>
  <c r="U13" i="1" s="1"/>
  <c r="O13" i="1"/>
  <c r="N13" i="1"/>
  <c r="M13" i="1"/>
  <c r="L13" i="1"/>
  <c r="B13" i="1"/>
  <c r="A13" i="1"/>
  <c r="T12" i="1"/>
  <c r="S12" i="1"/>
  <c r="R12" i="1"/>
  <c r="O12" i="1"/>
  <c r="N12" i="1"/>
  <c r="M12" i="1"/>
  <c r="B12" i="1"/>
  <c r="W12" i="1" s="1"/>
  <c r="X12" i="1" s="1"/>
  <c r="A12" i="1"/>
  <c r="W11" i="1"/>
  <c r="X11" i="1" s="1"/>
  <c r="T11" i="1"/>
  <c r="S11" i="1"/>
  <c r="R11" i="1"/>
  <c r="O11" i="1"/>
  <c r="N11" i="1"/>
  <c r="M11" i="1"/>
  <c r="B11" i="1"/>
  <c r="A11" i="1"/>
  <c r="W10" i="1"/>
  <c r="X10" i="1" s="1"/>
  <c r="T10" i="1"/>
  <c r="S10" i="1"/>
  <c r="R10" i="1"/>
  <c r="O10" i="1"/>
  <c r="N10" i="1"/>
  <c r="M10" i="1"/>
  <c r="L10" i="1"/>
  <c r="B10" i="1"/>
  <c r="P10" i="1" s="1"/>
  <c r="A10" i="1"/>
  <c r="W9" i="1"/>
  <c r="X9" i="1" s="1"/>
  <c r="T9" i="1"/>
  <c r="S9" i="1"/>
  <c r="R9" i="1"/>
  <c r="P9" i="1"/>
  <c r="V9" i="1" s="1"/>
  <c r="O9" i="1"/>
  <c r="N9" i="1"/>
  <c r="M9" i="1"/>
  <c r="L9" i="1"/>
  <c r="B9" i="1"/>
  <c r="A9" i="1"/>
  <c r="T8" i="1"/>
  <c r="S8" i="1"/>
  <c r="R8" i="1"/>
  <c r="O8" i="1"/>
  <c r="N8" i="1"/>
  <c r="M8" i="1"/>
  <c r="B8" i="1"/>
  <c r="P8" i="1" s="1"/>
  <c r="A8" i="1"/>
  <c r="W7" i="1"/>
  <c r="X7" i="1" s="1"/>
  <c r="T7" i="1"/>
  <c r="S7" i="1"/>
  <c r="R7" i="1"/>
  <c r="O7" i="1"/>
  <c r="N7" i="1"/>
  <c r="M7" i="1"/>
  <c r="B7" i="1"/>
  <c r="A7" i="1"/>
  <c r="W6" i="1"/>
  <c r="X6" i="1" s="1"/>
  <c r="T6" i="1"/>
  <c r="S6" i="1"/>
  <c r="R6" i="1"/>
  <c r="O6" i="1"/>
  <c r="N6" i="1"/>
  <c r="M6" i="1"/>
  <c r="L6" i="1"/>
  <c r="B6" i="1"/>
  <c r="P6" i="1" s="1"/>
  <c r="A6" i="1"/>
  <c r="W5" i="1"/>
  <c r="X5" i="1" s="1"/>
  <c r="T5" i="1"/>
  <c r="S5" i="1"/>
  <c r="R5" i="1"/>
  <c r="P5" i="1"/>
  <c r="U5" i="1" s="1"/>
  <c r="O5" i="1"/>
  <c r="N5" i="1"/>
  <c r="M5" i="1"/>
  <c r="L5" i="1"/>
  <c r="B5" i="1"/>
  <c r="A5" i="1"/>
  <c r="T4" i="1"/>
  <c r="S4" i="1"/>
  <c r="R4" i="1"/>
  <c r="O4" i="1"/>
  <c r="N4" i="1"/>
  <c r="M4" i="1"/>
  <c r="B4" i="1"/>
  <c r="W4" i="1" s="1"/>
  <c r="X4" i="1" s="1"/>
  <c r="A4" i="1"/>
  <c r="W3" i="1"/>
  <c r="X3" i="1" s="1"/>
  <c r="T3" i="1"/>
  <c r="S3" i="1"/>
  <c r="R3" i="1"/>
  <c r="O3" i="1"/>
  <c r="N3" i="1"/>
  <c r="M3" i="1"/>
  <c r="B3" i="1"/>
  <c r="A3" i="1"/>
  <c r="W2" i="1"/>
  <c r="X2" i="1" s="1"/>
  <c r="T2" i="1"/>
  <c r="S2" i="1"/>
  <c r="R2" i="1"/>
  <c r="O2" i="1"/>
  <c r="N2" i="1"/>
  <c r="M2" i="1"/>
  <c r="L2" i="1"/>
  <c r="B2" i="1"/>
  <c r="A2" i="1"/>
  <c r="Q22" i="1" l="1"/>
  <c r="U22" i="1"/>
  <c r="V22" i="1"/>
  <c r="Q18" i="1"/>
  <c r="U18" i="1"/>
  <c r="V18" i="1"/>
  <c r="U11" i="1"/>
  <c r="U7" i="1"/>
  <c r="Q14" i="1"/>
  <c r="U14" i="1"/>
  <c r="V14" i="1"/>
  <c r="U10" i="1"/>
  <c r="V10" i="1"/>
  <c r="Q10" i="1"/>
  <c r="Q6" i="1"/>
  <c r="U6" i="1"/>
  <c r="V6" i="1"/>
  <c r="L4" i="1"/>
  <c r="Q5" i="1"/>
  <c r="L8" i="1"/>
  <c r="Q9" i="1"/>
  <c r="L12" i="1"/>
  <c r="Q13" i="1"/>
  <c r="L16" i="1"/>
  <c r="Q17" i="1"/>
  <c r="L20" i="1"/>
  <c r="Q21" i="1"/>
  <c r="L24" i="1"/>
  <c r="Q32" i="1"/>
  <c r="U36" i="1"/>
  <c r="U41" i="1"/>
  <c r="Q41" i="1"/>
  <c r="P45" i="1"/>
  <c r="Q45" i="1" s="1"/>
  <c r="U52" i="1"/>
  <c r="U57" i="1"/>
  <c r="Q57" i="1"/>
  <c r="P61" i="1"/>
  <c r="L73" i="1"/>
  <c r="P76" i="1"/>
  <c r="Q76" i="1" s="1"/>
  <c r="L76" i="1"/>
  <c r="P85" i="1"/>
  <c r="U96" i="1"/>
  <c r="Q103" i="1"/>
  <c r="Q108" i="1"/>
  <c r="W110" i="1"/>
  <c r="X110" i="1" s="1"/>
  <c r="V110" i="1"/>
  <c r="U110" i="1"/>
  <c r="Q110" i="1"/>
  <c r="L122" i="1"/>
  <c r="V68" i="1"/>
  <c r="U71" i="1"/>
  <c r="U105" i="1"/>
  <c r="Q105" i="1"/>
  <c r="P105" i="1"/>
  <c r="L105" i="1"/>
  <c r="V71" i="1"/>
  <c r="V29" i="1"/>
  <c r="P44" i="1"/>
  <c r="Q44" i="1" s="1"/>
  <c r="L44" i="1"/>
  <c r="P60" i="1"/>
  <c r="Q60" i="1" s="1"/>
  <c r="L60" i="1"/>
  <c r="V25" i="1"/>
  <c r="V34" i="1"/>
  <c r="Q35" i="1"/>
  <c r="P38" i="1"/>
  <c r="Q38" i="1" s="1"/>
  <c r="V50" i="1"/>
  <c r="Q51" i="1"/>
  <c r="P54" i="1"/>
  <c r="Q54" i="1" s="1"/>
  <c r="V66" i="1"/>
  <c r="Q67" i="1"/>
  <c r="P70" i="1"/>
  <c r="Q70" i="1" s="1"/>
  <c r="P84" i="1"/>
  <c r="L84" i="1"/>
  <c r="U32" i="1"/>
  <c r="V61" i="1"/>
  <c r="P73" i="1"/>
  <c r="V85" i="1"/>
  <c r="W102" i="1"/>
  <c r="X102" i="1" s="1"/>
  <c r="V102" i="1"/>
  <c r="U102" i="1"/>
  <c r="Q102" i="1"/>
  <c r="U103" i="1"/>
  <c r="U108" i="1"/>
  <c r="V117" i="1"/>
  <c r="P117" i="1"/>
  <c r="U117" i="1" s="1"/>
  <c r="L117" i="1"/>
  <c r="V166" i="1"/>
  <c r="U166" i="1"/>
  <c r="U9" i="1"/>
  <c r="L3" i="1"/>
  <c r="V5" i="1"/>
  <c r="L7" i="1"/>
  <c r="Q8" i="1"/>
  <c r="L11" i="1"/>
  <c r="V13" i="1"/>
  <c r="L15" i="1"/>
  <c r="V17" i="1"/>
  <c r="L19" i="1"/>
  <c r="Q20" i="1"/>
  <c r="V21" i="1"/>
  <c r="L23" i="1"/>
  <c r="V32" i="1"/>
  <c r="U37" i="1"/>
  <c r="Q37" i="1"/>
  <c r="P41" i="1"/>
  <c r="Q53" i="1"/>
  <c r="P57" i="1"/>
  <c r="U81" i="1"/>
  <c r="Q81" i="1"/>
  <c r="L81" i="1"/>
  <c r="P97" i="1"/>
  <c r="V97" i="1" s="1"/>
  <c r="L97" i="1"/>
  <c r="L102" i="1"/>
  <c r="W136" i="1"/>
  <c r="X136" i="1" s="1"/>
  <c r="L136" i="1"/>
  <c r="W23" i="1"/>
  <c r="X23" i="1" s="1"/>
  <c r="W32" i="1"/>
  <c r="X32" i="1" s="1"/>
  <c r="P72" i="1"/>
  <c r="L72" i="1"/>
  <c r="Q87" i="1"/>
  <c r="P159" i="1"/>
  <c r="V159" i="1" s="1"/>
  <c r="W159" i="1"/>
  <c r="X159" i="1" s="1"/>
  <c r="U159" i="1"/>
  <c r="Q159" i="1"/>
  <c r="L32" i="1"/>
  <c r="P12" i="1"/>
  <c r="U12" i="1" s="1"/>
  <c r="P20" i="1"/>
  <c r="U20" i="1" s="1"/>
  <c r="U35" i="1"/>
  <c r="U51" i="1"/>
  <c r="P56" i="1"/>
  <c r="L56" i="1"/>
  <c r="U67" i="1"/>
  <c r="L78" i="1"/>
  <c r="Q89" i="1"/>
  <c r="P89" i="1"/>
  <c r="U89" i="1" s="1"/>
  <c r="L89" i="1"/>
  <c r="V94" i="1"/>
  <c r="U94" i="1"/>
  <c r="Q94" i="1"/>
  <c r="W132" i="1"/>
  <c r="X132" i="1" s="1"/>
  <c r="P132" i="1"/>
  <c r="V132" i="1" s="1"/>
  <c r="L159" i="1"/>
  <c r="P40" i="1"/>
  <c r="L40" i="1"/>
  <c r="U24" i="1"/>
  <c r="L26" i="1"/>
  <c r="Q27" i="1"/>
  <c r="W28" i="1"/>
  <c r="X28" i="1" s="1"/>
  <c r="P34" i="1"/>
  <c r="Q47" i="1"/>
  <c r="P50" i="1"/>
  <c r="Q63" i="1"/>
  <c r="P66" i="1"/>
  <c r="V73" i="1"/>
  <c r="U76" i="1"/>
  <c r="U79" i="1"/>
  <c r="L94" i="1"/>
  <c r="U95" i="1"/>
  <c r="U100" i="1"/>
  <c r="V105" i="1"/>
  <c r="Q107" i="1"/>
  <c r="Q112" i="1"/>
  <c r="W114" i="1"/>
  <c r="X114" i="1" s="1"/>
  <c r="U115" i="1"/>
  <c r="L132" i="1"/>
  <c r="P4" i="1"/>
  <c r="U4" i="1" s="1"/>
  <c r="B14" i="2"/>
  <c r="B13" i="2"/>
  <c r="B12" i="2"/>
  <c r="B11" i="2"/>
  <c r="B10" i="2"/>
  <c r="B9" i="2"/>
  <c r="B8" i="2"/>
  <c r="B7" i="2"/>
  <c r="B6" i="2"/>
  <c r="B4" i="2"/>
  <c r="B3" i="2"/>
  <c r="P3" i="1"/>
  <c r="V3" i="1" s="1"/>
  <c r="P7" i="1"/>
  <c r="V7" i="1" s="1"/>
  <c r="U8" i="1"/>
  <c r="P11" i="1"/>
  <c r="V11" i="1" s="1"/>
  <c r="P15" i="1"/>
  <c r="V15" i="1" s="1"/>
  <c r="P19" i="1"/>
  <c r="V19" i="1" s="1"/>
  <c r="P23" i="1"/>
  <c r="U23" i="1" s="1"/>
  <c r="V24" i="1"/>
  <c r="Q34" i="1"/>
  <c r="V41" i="1"/>
  <c r="L46" i="1"/>
  <c r="Q50" i="1"/>
  <c r="V57" i="1"/>
  <c r="L62" i="1"/>
  <c r="Q66" i="1"/>
  <c r="V76" i="1"/>
  <c r="P81" i="1"/>
  <c r="L86" i="1"/>
  <c r="P102" i="1"/>
  <c r="W105" i="1"/>
  <c r="X105" i="1" s="1"/>
  <c r="P109" i="1"/>
  <c r="V109" i="1" s="1"/>
  <c r="L109" i="1"/>
  <c r="L114" i="1"/>
  <c r="P136" i="1"/>
  <c r="V136" i="1" s="1"/>
  <c r="P16" i="1"/>
  <c r="U16" i="1" s="1"/>
  <c r="Q3" i="1"/>
  <c r="Q7" i="1"/>
  <c r="V8" i="1"/>
  <c r="Q11" i="1"/>
  <c r="V12" i="1"/>
  <c r="V16" i="1"/>
  <c r="W24" i="1"/>
  <c r="X24" i="1" s="1"/>
  <c r="P30" i="1"/>
  <c r="W41" i="1"/>
  <c r="X41" i="1" s="1"/>
  <c r="P53" i="1"/>
  <c r="U53" i="1" s="1"/>
  <c r="W57" i="1"/>
  <c r="X57" i="1" s="1"/>
  <c r="U60" i="1"/>
  <c r="U65" i="1"/>
  <c r="Q65" i="1"/>
  <c r="P69" i="1"/>
  <c r="U69" i="1" s="1"/>
  <c r="Q72" i="1"/>
  <c r="W76" i="1"/>
  <c r="X76" i="1" s="1"/>
  <c r="U87" i="1"/>
  <c r="Q119" i="1"/>
  <c r="L121" i="1"/>
  <c r="W121" i="1"/>
  <c r="X121" i="1" s="1"/>
  <c r="P121" i="1"/>
  <c r="U121" i="1" s="1"/>
  <c r="V4" i="1"/>
  <c r="Q15" i="1"/>
  <c r="Q19" i="1"/>
  <c r="U31" i="1"/>
  <c r="P37" i="1"/>
  <c r="U44" i="1"/>
  <c r="U49" i="1"/>
  <c r="Q49" i="1"/>
  <c r="W8" i="1"/>
  <c r="X8" i="1" s="1"/>
  <c r="U29" i="1"/>
  <c r="V44" i="1"/>
  <c r="L49" i="1"/>
  <c r="Q56" i="1"/>
  <c r="V60" i="1"/>
  <c r="L65" i="1"/>
  <c r="Q75" i="1"/>
  <c r="P78" i="1"/>
  <c r="V78" i="1" s="1"/>
  <c r="U84" i="1"/>
  <c r="W117" i="1"/>
  <c r="X117" i="1" s="1"/>
  <c r="U130" i="1"/>
  <c r="L165" i="1"/>
  <c r="W165" i="1"/>
  <c r="X165" i="1" s="1"/>
  <c r="P165" i="1"/>
  <c r="V165" i="1" s="1"/>
  <c r="P68" i="1"/>
  <c r="Q68" i="1" s="1"/>
  <c r="L68" i="1"/>
  <c r="P80" i="1"/>
  <c r="Q80" i="1" s="1"/>
  <c r="L80" i="1"/>
  <c r="W106" i="1"/>
  <c r="X106" i="1" s="1"/>
  <c r="V106" i="1"/>
  <c r="U106" i="1"/>
  <c r="Q106" i="1"/>
  <c r="Q146" i="1"/>
  <c r="W146" i="1"/>
  <c r="X146" i="1" s="1"/>
  <c r="V146" i="1"/>
  <c r="U146" i="1"/>
  <c r="P146" i="1"/>
  <c r="P52" i="1"/>
  <c r="L52" i="1"/>
  <c r="U25" i="1"/>
  <c r="Q26" i="1"/>
  <c r="U34" i="1"/>
  <c r="V42" i="1"/>
  <c r="Q43" i="1"/>
  <c r="P46" i="1"/>
  <c r="U46" i="1" s="1"/>
  <c r="U50" i="1"/>
  <c r="V58" i="1"/>
  <c r="Q59" i="1"/>
  <c r="P62" i="1"/>
  <c r="U62" i="1" s="1"/>
  <c r="U66" i="1"/>
  <c r="L74" i="1"/>
  <c r="U77" i="1"/>
  <c r="Q77" i="1"/>
  <c r="V81" i="1"/>
  <c r="W84" i="1"/>
  <c r="X84" i="1" s="1"/>
  <c r="P86" i="1"/>
  <c r="Q86" i="1" s="1"/>
  <c r="W97" i="1"/>
  <c r="X97" i="1" s="1"/>
  <c r="P101" i="1"/>
  <c r="V101" i="1" s="1"/>
  <c r="L101" i="1"/>
  <c r="L106" i="1"/>
  <c r="P114" i="1"/>
  <c r="V114" i="1" s="1"/>
  <c r="L146" i="1"/>
  <c r="Q24" i="1"/>
  <c r="P36" i="1"/>
  <c r="L36" i="1"/>
  <c r="P2" i="1"/>
  <c r="L25" i="1"/>
  <c r="P33" i="1"/>
  <c r="W34" i="1"/>
  <c r="X34" i="1" s="1"/>
  <c r="V37" i="1"/>
  <c r="L42" i="1"/>
  <c r="Q46" i="1"/>
  <c r="W50" i="1"/>
  <c r="X50" i="1" s="1"/>
  <c r="V53" i="1"/>
  <c r="L58" i="1"/>
  <c r="W66" i="1"/>
  <c r="X66" i="1" s="1"/>
  <c r="U72" i="1"/>
  <c r="L77" i="1"/>
  <c r="W81" i="1"/>
  <c r="X81" i="1" s="1"/>
  <c r="V89" i="1"/>
  <c r="W118" i="1"/>
  <c r="X118" i="1" s="1"/>
  <c r="V118" i="1"/>
  <c r="U118" i="1"/>
  <c r="Q118" i="1"/>
  <c r="U119" i="1"/>
  <c r="W194" i="1"/>
  <c r="X194" i="1" s="1"/>
  <c r="P194" i="1"/>
  <c r="V194" i="1" s="1"/>
  <c r="U45" i="1"/>
  <c r="U61" i="1"/>
  <c r="Q61" i="1"/>
  <c r="V72" i="1"/>
  <c r="Q83" i="1"/>
  <c r="W89" i="1"/>
  <c r="X89" i="1" s="1"/>
  <c r="Q91" i="1"/>
  <c r="L118" i="1"/>
  <c r="L125" i="1"/>
  <c r="W125" i="1"/>
  <c r="X125" i="1" s="1"/>
  <c r="P125" i="1"/>
  <c r="U125" i="1" s="1"/>
  <c r="L194" i="1"/>
  <c r="U85" i="1"/>
  <c r="Q85" i="1"/>
  <c r="L85" i="1"/>
  <c r="U93" i="1"/>
  <c r="P93" i="1"/>
  <c r="Q93" i="1" s="1"/>
  <c r="L93" i="1"/>
  <c r="W98" i="1"/>
  <c r="X98" i="1" s="1"/>
  <c r="V98" i="1"/>
  <c r="U98" i="1"/>
  <c r="Q98" i="1"/>
  <c r="W40" i="1"/>
  <c r="X40" i="1" s="1"/>
  <c r="U43" i="1"/>
  <c r="P48" i="1"/>
  <c r="L48" i="1"/>
  <c r="W56" i="1"/>
  <c r="X56" i="1" s="1"/>
  <c r="U59" i="1"/>
  <c r="P64" i="1"/>
  <c r="L64" i="1"/>
  <c r="P74" i="1"/>
  <c r="U74" i="1" s="1"/>
  <c r="V82" i="1"/>
  <c r="Q82" i="1"/>
  <c r="U86" i="1"/>
  <c r="L98" i="1"/>
  <c r="P106" i="1"/>
  <c r="W109" i="1"/>
  <c r="X109" i="1" s="1"/>
  <c r="U113" i="1"/>
  <c r="Q113" i="1"/>
  <c r="P113" i="1"/>
  <c r="V113" i="1" s="1"/>
  <c r="L113" i="1"/>
  <c r="U144" i="1"/>
  <c r="V54" i="1"/>
  <c r="V70" i="1"/>
  <c r="V90" i="1"/>
  <c r="U90" i="1"/>
  <c r="Q90" i="1"/>
  <c r="W168" i="1"/>
  <c r="X168" i="1" s="1"/>
  <c r="P168" i="1"/>
  <c r="V168" i="1" s="1"/>
  <c r="L168" i="1"/>
  <c r="W209" i="1"/>
  <c r="X209" i="1" s="1"/>
  <c r="L209" i="1"/>
  <c r="P209" i="1"/>
  <c r="V209" i="1" s="1"/>
  <c r="U73" i="1"/>
  <c r="Q73" i="1"/>
  <c r="Q122" i="1"/>
  <c r="W122" i="1"/>
  <c r="X122" i="1" s="1"/>
  <c r="V122" i="1"/>
  <c r="U122" i="1"/>
  <c r="W139" i="1"/>
  <c r="X139" i="1" s="1"/>
  <c r="P139" i="1"/>
  <c r="V139" i="1" s="1"/>
  <c r="W163" i="1"/>
  <c r="X163" i="1" s="1"/>
  <c r="V163" i="1"/>
  <c r="P163" i="1"/>
  <c r="Q163" i="1" s="1"/>
  <c r="Q166" i="1"/>
  <c r="U172" i="1"/>
  <c r="V206" i="1"/>
  <c r="U206" i="1"/>
  <c r="V143" i="1"/>
  <c r="Q150" i="1"/>
  <c r="L163" i="1"/>
  <c r="L172" i="1"/>
  <c r="U184" i="1"/>
  <c r="Q206" i="1"/>
  <c r="W289" i="1"/>
  <c r="X289" i="1" s="1"/>
  <c r="P289" i="1"/>
  <c r="Q289" i="1" s="1"/>
  <c r="L289" i="1"/>
  <c r="L143" i="1"/>
  <c r="L150" i="1"/>
  <c r="Q157" i="1"/>
  <c r="W175" i="1"/>
  <c r="X175" i="1" s="1"/>
  <c r="P175" i="1"/>
  <c r="V175" i="1" s="1"/>
  <c r="Q178" i="1"/>
  <c r="L184" i="1"/>
  <c r="W187" i="1"/>
  <c r="X187" i="1" s="1"/>
  <c r="P187" i="1"/>
  <c r="Q187" i="1" s="1"/>
  <c r="L199" i="1"/>
  <c r="W199" i="1"/>
  <c r="X199" i="1" s="1"/>
  <c r="V199" i="1"/>
  <c r="U156" i="1"/>
  <c r="W192" i="1"/>
  <c r="X192" i="1" s="1"/>
  <c r="V192" i="1"/>
  <c r="W201" i="1"/>
  <c r="X201" i="1" s="1"/>
  <c r="P201" i="1"/>
  <c r="U201" i="1" s="1"/>
  <c r="Q229" i="1"/>
  <c r="W229" i="1"/>
  <c r="X229" i="1" s="1"/>
  <c r="U229" i="1"/>
  <c r="P229" i="1"/>
  <c r="V229" i="1" s="1"/>
  <c r="W258" i="1"/>
  <c r="X258" i="1" s="1"/>
  <c r="P258" i="1"/>
  <c r="V258" i="1" s="1"/>
  <c r="L258" i="1"/>
  <c r="Q129" i="1"/>
  <c r="V135" i="1"/>
  <c r="Q142" i="1"/>
  <c r="Q143" i="1"/>
  <c r="Q153" i="1"/>
  <c r="Q175" i="1"/>
  <c r="Q184" i="1"/>
  <c r="L189" i="1"/>
  <c r="V205" i="1"/>
  <c r="W205" i="1"/>
  <c r="X205" i="1" s="1"/>
  <c r="Q205" i="1"/>
  <c r="P205" i="1"/>
  <c r="U205" i="1" s="1"/>
  <c r="L205" i="1"/>
  <c r="U140" i="1"/>
  <c r="P156" i="1"/>
  <c r="W171" i="1"/>
  <c r="X171" i="1" s="1"/>
  <c r="P171" i="1"/>
  <c r="Q171" i="1" s="1"/>
  <c r="P192" i="1"/>
  <c r="Q192" i="1" s="1"/>
  <c r="Q203" i="1"/>
  <c r="V126" i="1"/>
  <c r="V133" i="1"/>
  <c r="L152" i="1"/>
  <c r="Q156" i="1"/>
  <c r="U163" i="1"/>
  <c r="U169" i="1"/>
  <c r="L171" i="1"/>
  <c r="L180" i="1"/>
  <c r="W183" i="1"/>
  <c r="X183" i="1" s="1"/>
  <c r="V183" i="1"/>
  <c r="P183" i="1"/>
  <c r="W225" i="1"/>
  <c r="X225" i="1" s="1"/>
  <c r="P225" i="1"/>
  <c r="Q225" i="1" s="1"/>
  <c r="L225" i="1"/>
  <c r="W238" i="1"/>
  <c r="X238" i="1" s="1"/>
  <c r="L238" i="1"/>
  <c r="V131" i="1"/>
  <c r="W133" i="1"/>
  <c r="X133" i="1" s="1"/>
  <c r="Q138" i="1"/>
  <c r="U150" i="1"/>
  <c r="P155" i="1"/>
  <c r="U155" i="1" s="1"/>
  <c r="V169" i="1"/>
  <c r="V172" i="1"/>
  <c r="U181" i="1"/>
  <c r="L183" i="1"/>
  <c r="U129" i="1"/>
  <c r="U143" i="1"/>
  <c r="P149" i="1"/>
  <c r="U149" i="1" s="1"/>
  <c r="V150" i="1"/>
  <c r="U153" i="1"/>
  <c r="W169" i="1"/>
  <c r="X169" i="1" s="1"/>
  <c r="W172" i="1"/>
  <c r="X172" i="1" s="1"/>
  <c r="U175" i="1"/>
  <c r="U178" i="1"/>
  <c r="V181" i="1"/>
  <c r="V184" i="1"/>
  <c r="U187" i="1"/>
  <c r="P189" i="1"/>
  <c r="U189" i="1" s="1"/>
  <c r="U199" i="1"/>
  <c r="L232" i="1"/>
  <c r="W232" i="1"/>
  <c r="X232" i="1" s="1"/>
  <c r="P232" i="1"/>
  <c r="Q232" i="1" s="1"/>
  <c r="P128" i="1"/>
  <c r="Q128" i="1" s="1"/>
  <c r="V129" i="1"/>
  <c r="P135" i="1"/>
  <c r="Q135" i="1" s="1"/>
  <c r="P142" i="1"/>
  <c r="U142" i="1" s="1"/>
  <c r="W143" i="1"/>
  <c r="X143" i="1" s="1"/>
  <c r="Q149" i="1"/>
  <c r="W150" i="1"/>
  <c r="X150" i="1" s="1"/>
  <c r="V153" i="1"/>
  <c r="P177" i="1"/>
  <c r="V177" i="1" s="1"/>
  <c r="W181" i="1"/>
  <c r="X181" i="1" s="1"/>
  <c r="W184" i="1"/>
  <c r="X184" i="1" s="1"/>
  <c r="V203" i="1"/>
  <c r="Q217" i="1"/>
  <c r="W129" i="1"/>
  <c r="X129" i="1" s="1"/>
  <c r="P152" i="1"/>
  <c r="U152" i="1" s="1"/>
  <c r="W153" i="1"/>
  <c r="X153" i="1" s="1"/>
  <c r="V156" i="1"/>
  <c r="P180" i="1"/>
  <c r="V180" i="1" s="1"/>
  <c r="W202" i="1"/>
  <c r="X202" i="1" s="1"/>
  <c r="V202" i="1"/>
  <c r="U202" i="1"/>
  <c r="L202" i="1"/>
  <c r="P238" i="1"/>
  <c r="V238" i="1" s="1"/>
  <c r="L88" i="1"/>
  <c r="L92" i="1"/>
  <c r="L96" i="1"/>
  <c r="L100" i="1"/>
  <c r="L104" i="1"/>
  <c r="L108" i="1"/>
  <c r="L112" i="1"/>
  <c r="L116" i="1"/>
  <c r="L120" i="1"/>
  <c r="L127" i="1"/>
  <c r="L134" i="1"/>
  <c r="P145" i="1"/>
  <c r="Q152" i="1"/>
  <c r="W156" i="1"/>
  <c r="X156" i="1" s="1"/>
  <c r="W167" i="1"/>
  <c r="X167" i="1" s="1"/>
  <c r="P167" i="1"/>
  <c r="U167" i="1" s="1"/>
  <c r="U176" i="1"/>
  <c r="Q180" i="1"/>
  <c r="Q183" i="1"/>
  <c r="P193" i="1"/>
  <c r="U193" i="1" s="1"/>
  <c r="L193" i="1"/>
  <c r="W198" i="1"/>
  <c r="X198" i="1" s="1"/>
  <c r="P198" i="1"/>
  <c r="V198" i="1" s="1"/>
  <c r="L198" i="1"/>
  <c r="P124" i="1"/>
  <c r="Q124" i="1" s="1"/>
  <c r="P131" i="1"/>
  <c r="U131" i="1" s="1"/>
  <c r="P138" i="1"/>
  <c r="Q145" i="1"/>
  <c r="P151" i="1"/>
  <c r="Q155" i="1"/>
  <c r="U162" i="1"/>
  <c r="L167" i="1"/>
  <c r="L176" i="1"/>
  <c r="Q182" i="1"/>
  <c r="L188" i="1"/>
  <c r="Q242" i="1"/>
  <c r="V123" i="1"/>
  <c r="Q130" i="1"/>
  <c r="L151" i="1"/>
  <c r="Q154" i="1"/>
  <c r="W179" i="1"/>
  <c r="X179" i="1" s="1"/>
  <c r="P179" i="1"/>
  <c r="Q208" i="1"/>
  <c r="L255" i="1"/>
  <c r="W255" i="1"/>
  <c r="X255" i="1" s="1"/>
  <c r="V255" i="1"/>
  <c r="U255" i="1"/>
  <c r="Q255" i="1"/>
  <c r="P255" i="1"/>
  <c r="L284" i="1"/>
  <c r="Q284" i="1"/>
  <c r="P284" i="1"/>
  <c r="W284" i="1"/>
  <c r="X284" i="1" s="1"/>
  <c r="V284" i="1"/>
  <c r="U284" i="1"/>
  <c r="L123" i="1"/>
  <c r="U128" i="1"/>
  <c r="L130" i="1"/>
  <c r="U135" i="1"/>
  <c r="P141" i="1"/>
  <c r="V142" i="1"/>
  <c r="P148" i="1"/>
  <c r="Q148" i="1" s="1"/>
  <c r="V149" i="1"/>
  <c r="Q161" i="1"/>
  <c r="P164" i="1"/>
  <c r="V164" i="1" s="1"/>
  <c r="U171" i="1"/>
  <c r="U174" i="1"/>
  <c r="L179" i="1"/>
  <c r="U186" i="1"/>
  <c r="W189" i="1"/>
  <c r="X189" i="1" s="1"/>
  <c r="P202" i="1"/>
  <c r="Q216" i="1"/>
  <c r="W216" i="1"/>
  <c r="X216" i="1" s="1"/>
  <c r="V216" i="1"/>
  <c r="U216" i="1"/>
  <c r="L216" i="1"/>
  <c r="P127" i="1"/>
  <c r="V128" i="1"/>
  <c r="P134" i="1"/>
  <c r="Q134" i="1" s="1"/>
  <c r="W135" i="1"/>
  <c r="X135" i="1" s="1"/>
  <c r="Q141" i="1"/>
  <c r="W142" i="1"/>
  <c r="X142" i="1" s="1"/>
  <c r="V147" i="1"/>
  <c r="W149" i="1"/>
  <c r="X149" i="1" s="1"/>
  <c r="V152" i="1"/>
  <c r="U160" i="1"/>
  <c r="P173" i="1"/>
  <c r="U183" i="1"/>
  <c r="P185" i="1"/>
  <c r="Q193" i="1"/>
  <c r="L195" i="1"/>
  <c r="U195" i="1"/>
  <c r="Q202" i="1"/>
  <c r="Q126" i="1"/>
  <c r="W152" i="1"/>
  <c r="X152" i="1" s="1"/>
  <c r="Q173" i="1"/>
  <c r="P176" i="1"/>
  <c r="W177" i="1"/>
  <c r="X177" i="1" s="1"/>
  <c r="W180" i="1"/>
  <c r="X180" i="1" s="1"/>
  <c r="Q185" i="1"/>
  <c r="P188" i="1"/>
  <c r="Q212" i="1"/>
  <c r="W212" i="1"/>
  <c r="X212" i="1" s="1"/>
  <c r="U212" i="1"/>
  <c r="P212" i="1"/>
  <c r="V212" i="1" s="1"/>
  <c r="L212" i="1"/>
  <c r="L235" i="1"/>
  <c r="W235" i="1"/>
  <c r="X235" i="1" s="1"/>
  <c r="P235" i="1"/>
  <c r="Q235" i="1" s="1"/>
  <c r="L247" i="1"/>
  <c r="W247" i="1"/>
  <c r="X247" i="1" s="1"/>
  <c r="P247" i="1"/>
  <c r="Q247" i="1" s="1"/>
  <c r="V250" i="1"/>
  <c r="Q253" i="1"/>
  <c r="V253" i="1"/>
  <c r="Q277" i="1"/>
  <c r="V277" i="1"/>
  <c r="U277" i="1"/>
  <c r="Q241" i="1"/>
  <c r="L244" i="1"/>
  <c r="Q244" i="1"/>
  <c r="L250" i="1"/>
  <c r="L253" i="1"/>
  <c r="L264" i="1"/>
  <c r="P264" i="1"/>
  <c r="Q264" i="1" s="1"/>
  <c r="Q267" i="1"/>
  <c r="L277" i="1"/>
  <c r="L292" i="1"/>
  <c r="P292" i="1"/>
  <c r="U292" i="1" s="1"/>
  <c r="Q297" i="1"/>
  <c r="W297" i="1"/>
  <c r="X297" i="1" s="1"/>
  <c r="V297" i="1"/>
  <c r="U297" i="1"/>
  <c r="W274" i="1"/>
  <c r="X274" i="1" s="1"/>
  <c r="L297" i="1"/>
  <c r="P256" i="1"/>
  <c r="W294" i="1"/>
  <c r="X294" i="1" s="1"/>
  <c r="V294" i="1"/>
  <c r="V222" i="1"/>
  <c r="Q226" i="1"/>
  <c r="L261" i="1"/>
  <c r="W266" i="1"/>
  <c r="X266" i="1" s="1"/>
  <c r="V266" i="1"/>
  <c r="P282" i="1"/>
  <c r="Q282" i="1" s="1"/>
  <c r="Q287" i="1"/>
  <c r="L294" i="1"/>
  <c r="U220" i="1"/>
  <c r="L228" i="1"/>
  <c r="P241" i="1"/>
  <c r="V241" i="1" s="1"/>
  <c r="Q250" i="1"/>
  <c r="L208" i="1"/>
  <c r="P219" i="1"/>
  <c r="Q249" i="1"/>
  <c r="V249" i="1"/>
  <c r="L252" i="1"/>
  <c r="U256" i="1"/>
  <c r="P269" i="1"/>
  <c r="Q269" i="1" s="1"/>
  <c r="V272" i="1"/>
  <c r="P274" i="1"/>
  <c r="V274" i="1" s="1"/>
  <c r="W286" i="1"/>
  <c r="X286" i="1" s="1"/>
  <c r="P191" i="1"/>
  <c r="Q219" i="1"/>
  <c r="V223" i="1"/>
  <c r="U226" i="1"/>
  <c r="L237" i="1"/>
  <c r="L240" i="1"/>
  <c r="L246" i="1"/>
  <c r="L249" i="1"/>
  <c r="V256" i="1"/>
  <c r="P261" i="1"/>
  <c r="V261" i="1" s="1"/>
  <c r="U264" i="1"/>
  <c r="L276" i="1"/>
  <c r="P276" i="1"/>
  <c r="V276" i="1" s="1"/>
  <c r="Q279" i="1"/>
  <c r="L286" i="1"/>
  <c r="U287" i="1"/>
  <c r="P294" i="1"/>
  <c r="Q299" i="1"/>
  <c r="Q191" i="1"/>
  <c r="V197" i="1"/>
  <c r="Q204" i="1"/>
  <c r="L218" i="1"/>
  <c r="P222" i="1"/>
  <c r="U222" i="1" s="1"/>
  <c r="W223" i="1"/>
  <c r="X223" i="1" s="1"/>
  <c r="U244" i="1"/>
  <c r="U253" i="1"/>
  <c r="V264" i="1"/>
  <c r="P266" i="1"/>
  <c r="W277" i="1"/>
  <c r="X277" i="1" s="1"/>
  <c r="W281" i="1"/>
  <c r="X281" i="1" s="1"/>
  <c r="V281" i="1"/>
  <c r="U281" i="1"/>
  <c r="V292" i="1"/>
  <c r="Q294" i="1"/>
  <c r="L296" i="1"/>
  <c r="P296" i="1"/>
  <c r="Q296" i="1" s="1"/>
  <c r="W301" i="1"/>
  <c r="X301" i="1" s="1"/>
  <c r="L197" i="1"/>
  <c r="L204" i="1"/>
  <c r="P215" i="1"/>
  <c r="U215" i="1" s="1"/>
  <c r="Q222" i="1"/>
  <c r="P228" i="1"/>
  <c r="V228" i="1" s="1"/>
  <c r="P231" i="1"/>
  <c r="Q231" i="1" s="1"/>
  <c r="U241" i="1"/>
  <c r="V244" i="1"/>
  <c r="U250" i="1"/>
  <c r="W253" i="1"/>
  <c r="X253" i="1" s="1"/>
  <c r="W264" i="1"/>
  <c r="X264" i="1" s="1"/>
  <c r="Q266" i="1"/>
  <c r="L268" i="1"/>
  <c r="P268" i="1"/>
  <c r="V268" i="1" s="1"/>
  <c r="Q271" i="1"/>
  <c r="L281" i="1"/>
  <c r="W292" i="1"/>
  <c r="X292" i="1" s="1"/>
  <c r="L301" i="1"/>
  <c r="P208" i="1"/>
  <c r="P234" i="1"/>
  <c r="U234" i="1" s="1"/>
  <c r="W241" i="1"/>
  <c r="X241" i="1" s="1"/>
  <c r="P243" i="1"/>
  <c r="U243" i="1" s="1"/>
  <c r="W244" i="1"/>
  <c r="X244" i="1" s="1"/>
  <c r="W250" i="1"/>
  <c r="X250" i="1" s="1"/>
  <c r="P252" i="1"/>
  <c r="U252" i="1" s="1"/>
  <c r="L260" i="1"/>
  <c r="Q260" i="1"/>
  <c r="P260" i="1"/>
  <c r="V260" i="1" s="1"/>
  <c r="W269" i="1"/>
  <c r="X269" i="1" s="1"/>
  <c r="W278" i="1"/>
  <c r="X278" i="1" s="1"/>
  <c r="W298" i="1"/>
  <c r="X298" i="1" s="1"/>
  <c r="L214" i="1"/>
  <c r="U219" i="1"/>
  <c r="L221" i="1"/>
  <c r="L224" i="1"/>
  <c r="V230" i="1"/>
  <c r="Q234" i="1"/>
  <c r="P237" i="1"/>
  <c r="U237" i="1" s="1"/>
  <c r="P240" i="1"/>
  <c r="U240" i="1" s="1"/>
  <c r="Q243" i="1"/>
  <c r="P246" i="1"/>
  <c r="U246" i="1" s="1"/>
  <c r="P249" i="1"/>
  <c r="Q257" i="1"/>
  <c r="V257" i="1"/>
  <c r="W261" i="1"/>
  <c r="X261" i="1" s="1"/>
  <c r="Q263" i="1"/>
  <c r="L273" i="1"/>
  <c r="L278" i="1"/>
  <c r="U279" i="1"/>
  <c r="P286" i="1"/>
  <c r="V286" i="1" s="1"/>
  <c r="Q291" i="1"/>
  <c r="L298" i="1"/>
  <c r="U299" i="1"/>
  <c r="U191" i="1"/>
  <c r="L200" i="1"/>
  <c r="P218" i="1"/>
  <c r="V219" i="1"/>
  <c r="Q233" i="1"/>
  <c r="V233" i="1"/>
  <c r="Q246" i="1"/>
  <c r="W254" i="1"/>
  <c r="X254" i="1" s="1"/>
  <c r="V254" i="1"/>
  <c r="L257" i="1"/>
  <c r="Q265" i="1"/>
  <c r="V265" i="1"/>
  <c r="U265" i="1"/>
  <c r="W270" i="1"/>
  <c r="X270" i="1" s="1"/>
  <c r="V270" i="1"/>
  <c r="L288" i="1"/>
  <c r="P288" i="1"/>
  <c r="W293" i="1"/>
  <c r="X293" i="1" s="1"/>
  <c r="U293" i="1"/>
  <c r="U294" i="1"/>
  <c r="V191" i="1"/>
  <c r="V217" i="1"/>
  <c r="W219" i="1"/>
  <c r="X219" i="1" s="1"/>
  <c r="L233" i="1"/>
  <c r="L236" i="1"/>
  <c r="Q236" i="1"/>
  <c r="V242" i="1"/>
  <c r="Q245" i="1"/>
  <c r="V245" i="1"/>
  <c r="L248" i="1"/>
  <c r="Q248" i="1"/>
  <c r="L254" i="1"/>
  <c r="L265" i="1"/>
  <c r="U266" i="1"/>
  <c r="L270" i="1"/>
  <c r="U271" i="1"/>
  <c r="P281" i="1"/>
  <c r="Q281" i="1" s="1"/>
  <c r="L293" i="1"/>
  <c r="P301" i="1"/>
  <c r="Q301" i="1" s="1"/>
  <c r="Q196" i="1"/>
  <c r="U208" i="1"/>
  <c r="W222" i="1"/>
  <c r="X222" i="1" s="1"/>
  <c r="W262" i="1"/>
  <c r="X262" i="1" s="1"/>
  <c r="V262" i="1"/>
  <c r="W290" i="1"/>
  <c r="X290" i="1" s="1"/>
  <c r="V290" i="1"/>
  <c r="L196" i="1"/>
  <c r="P207" i="1"/>
  <c r="V208" i="1"/>
  <c r="P214" i="1"/>
  <c r="V215" i="1"/>
  <c r="P221" i="1"/>
  <c r="U221" i="1" s="1"/>
  <c r="P224" i="1"/>
  <c r="P227" i="1"/>
  <c r="W228" i="1"/>
  <c r="X228" i="1" s="1"/>
  <c r="U249" i="1"/>
  <c r="L262" i="1"/>
  <c r="U263" i="1"/>
  <c r="P273" i="1"/>
  <c r="V273" i="1" s="1"/>
  <c r="P278" i="1"/>
  <c r="U278" i="1" s="1"/>
  <c r="L290" i="1"/>
  <c r="U291" i="1"/>
  <c r="U296" i="1"/>
  <c r="P298" i="1"/>
  <c r="U298" i="1" s="1"/>
  <c r="P200" i="1"/>
  <c r="V200" i="1" s="1"/>
  <c r="Q207" i="1"/>
  <c r="W208" i="1"/>
  <c r="X208" i="1" s="1"/>
  <c r="V213" i="1"/>
  <c r="W215" i="1"/>
  <c r="X215" i="1" s="1"/>
  <c r="Q220" i="1"/>
  <c r="P230" i="1"/>
  <c r="W231" i="1"/>
  <c r="X231" i="1" s="1"/>
  <c r="W234" i="1"/>
  <c r="X234" i="1" s="1"/>
  <c r="W237" i="1"/>
  <c r="X237" i="1" s="1"/>
  <c r="W249" i="1"/>
  <c r="X249" i="1" s="1"/>
  <c r="P251" i="1"/>
  <c r="W252" i="1"/>
  <c r="X252" i="1" s="1"/>
  <c r="U268" i="1"/>
  <c r="W276" i="1"/>
  <c r="X276" i="1" s="1"/>
  <c r="Q278" i="1"/>
  <c r="L280" i="1"/>
  <c r="P280" i="1"/>
  <c r="Q280" i="1" s="1"/>
  <c r="Q285" i="1"/>
  <c r="W285" i="1"/>
  <c r="X285" i="1" s="1"/>
  <c r="V285" i="1"/>
  <c r="U285" i="1"/>
  <c r="V296" i="1"/>
  <c r="L300" i="1"/>
  <c r="P300" i="1"/>
  <c r="Q300" i="1" s="1"/>
  <c r="V226" i="1"/>
  <c r="W240" i="1"/>
  <c r="X240" i="1" s="1"/>
  <c r="W243" i="1"/>
  <c r="X243" i="1" s="1"/>
  <c r="W246" i="1"/>
  <c r="X246" i="1" s="1"/>
  <c r="U260" i="1"/>
  <c r="L285" i="1"/>
  <c r="P293" i="1"/>
  <c r="Q293" i="1" s="1"/>
  <c r="W296" i="1"/>
  <c r="X296" i="1" s="1"/>
  <c r="L256" i="1"/>
  <c r="Q256" i="1"/>
  <c r="L272" i="1"/>
  <c r="Q272" i="1"/>
  <c r="P272" i="1"/>
  <c r="U272" i="1" s="1"/>
  <c r="W282" i="1"/>
  <c r="X282" i="1" s="1"/>
  <c r="Q194" i="1" l="1"/>
  <c r="Q151" i="1"/>
  <c r="U151" i="1"/>
  <c r="Q252" i="1"/>
  <c r="U164" i="1"/>
  <c r="U200" i="1"/>
  <c r="U138" i="1"/>
  <c r="V138" i="1"/>
  <c r="V231" i="1"/>
  <c r="Q164" i="1"/>
  <c r="U177" i="1"/>
  <c r="U282" i="1"/>
  <c r="U192" i="1"/>
  <c r="V20" i="1"/>
  <c r="U56" i="1"/>
  <c r="V56" i="1"/>
  <c r="Q136" i="1"/>
  <c r="V80" i="1"/>
  <c r="U136" i="1"/>
  <c r="Q117" i="1"/>
  <c r="Q168" i="1"/>
  <c r="V224" i="1"/>
  <c r="U224" i="1"/>
  <c r="Q132" i="1"/>
  <c r="V23" i="1"/>
  <c r="Q16" i="1"/>
  <c r="U132" i="1"/>
  <c r="Q97" i="1"/>
  <c r="U70" i="1"/>
  <c r="U97" i="1"/>
  <c r="Q12" i="1"/>
  <c r="U30" i="1"/>
  <c r="V30" i="1"/>
  <c r="V227" i="1"/>
  <c r="U227" i="1"/>
  <c r="V167" i="1"/>
  <c r="Q139" i="1"/>
  <c r="U247" i="1"/>
  <c r="Q238" i="1"/>
  <c r="U168" i="1"/>
  <c r="V121" i="1"/>
  <c r="Q74" i="1"/>
  <c r="U261" i="1"/>
  <c r="Q30" i="1"/>
  <c r="V243" i="1"/>
  <c r="U276" i="1"/>
  <c r="V298" i="1"/>
  <c r="Q215" i="1"/>
  <c r="Q240" i="1"/>
  <c r="Q261" i="1"/>
  <c r="Q198" i="1"/>
  <c r="Q258" i="1"/>
  <c r="V38" i="1"/>
  <c r="U280" i="1"/>
  <c r="V280" i="1"/>
  <c r="U139" i="1"/>
  <c r="Q33" i="1"/>
  <c r="V33" i="1"/>
  <c r="Q121" i="1"/>
  <c r="V214" i="1"/>
  <c r="U214" i="1"/>
  <c r="Q274" i="1"/>
  <c r="Q251" i="1"/>
  <c r="V251" i="1"/>
  <c r="U251" i="1"/>
  <c r="V171" i="1"/>
  <c r="V48" i="1"/>
  <c r="U48" i="1"/>
  <c r="Q48" i="1"/>
  <c r="V235" i="1"/>
  <c r="U274" i="1"/>
  <c r="U301" i="1"/>
  <c r="U198" i="1"/>
  <c r="V225" i="1"/>
  <c r="U258" i="1"/>
  <c r="V62" i="1"/>
  <c r="U40" i="1"/>
  <c r="V40" i="1"/>
  <c r="Q167" i="1"/>
  <c r="Q179" i="1"/>
  <c r="U179" i="1"/>
  <c r="U145" i="1"/>
  <c r="V145" i="1"/>
  <c r="U180" i="1"/>
  <c r="V125" i="1"/>
  <c r="U33" i="1"/>
  <c r="U235" i="1"/>
  <c r="U225" i="1"/>
  <c r="V252" i="1"/>
  <c r="V278" i="1"/>
  <c r="V301" i="1"/>
  <c r="Q214" i="1"/>
  <c r="Q131" i="1"/>
  <c r="V187" i="1"/>
  <c r="Q109" i="1"/>
  <c r="U54" i="1"/>
  <c r="Q69" i="1"/>
  <c r="U80" i="1"/>
  <c r="Q189" i="1"/>
  <c r="Q276" i="1"/>
  <c r="V247" i="1"/>
  <c r="U238" i="1"/>
  <c r="Q125" i="1"/>
  <c r="V86" i="1"/>
  <c r="U2" i="1"/>
  <c r="Q2" i="1"/>
  <c r="V2" i="1"/>
  <c r="V288" i="1"/>
  <c r="U288" i="1"/>
  <c r="V134" i="1"/>
  <c r="U134" i="1"/>
  <c r="Q177" i="1"/>
  <c r="V221" i="1"/>
  <c r="Q127" i="1"/>
  <c r="U127" i="1"/>
  <c r="Q237" i="1"/>
  <c r="V74" i="1"/>
  <c r="Q298" i="1"/>
  <c r="V185" i="1"/>
  <c r="U185" i="1"/>
  <c r="U232" i="1"/>
  <c r="U78" i="1"/>
  <c r="V69" i="1"/>
  <c r="Q165" i="1"/>
  <c r="U109" i="1"/>
  <c r="Q114" i="1"/>
  <c r="Q78" i="1"/>
  <c r="V45" i="1"/>
  <c r="V188" i="1"/>
  <c r="Q188" i="1"/>
  <c r="V189" i="1"/>
  <c r="V218" i="1"/>
  <c r="U218" i="1"/>
  <c r="U194" i="1"/>
  <c r="Q292" i="1"/>
  <c r="V148" i="1"/>
  <c r="U148" i="1"/>
  <c r="U289" i="1"/>
  <c r="V64" i="1"/>
  <c r="U64" i="1"/>
  <c r="Q64" i="1"/>
  <c r="V289" i="1"/>
  <c r="U207" i="1"/>
  <c r="V207" i="1"/>
  <c r="V179" i="1"/>
  <c r="Q218" i="1"/>
  <c r="Q286" i="1"/>
  <c r="V240" i="1"/>
  <c r="U231" i="1"/>
  <c r="U273" i="1"/>
  <c r="V234" i="1"/>
  <c r="V232" i="1"/>
  <c r="Q209" i="1"/>
  <c r="U165" i="1"/>
  <c r="U114" i="1"/>
  <c r="Q4" i="1"/>
  <c r="Q201" i="1"/>
  <c r="V293" i="1"/>
  <c r="V176" i="1"/>
  <c r="Q176" i="1"/>
  <c r="V151" i="1"/>
  <c r="V201" i="1"/>
  <c r="Q224" i="1"/>
  <c r="Q288" i="1"/>
  <c r="V246" i="1"/>
  <c r="Q36" i="1"/>
  <c r="V36" i="1"/>
  <c r="B5" i="2"/>
  <c r="U300" i="1"/>
  <c r="V300" i="1"/>
  <c r="V282" i="1"/>
  <c r="Q228" i="1"/>
  <c r="U269" i="1"/>
  <c r="V127" i="1"/>
  <c r="U209" i="1"/>
  <c r="Q62" i="1"/>
  <c r="V46" i="1"/>
  <c r="V93" i="1"/>
  <c r="U15" i="1"/>
  <c r="V237" i="1"/>
  <c r="Q200" i="1"/>
  <c r="U286" i="1"/>
  <c r="Q227" i="1"/>
  <c r="U228" i="1"/>
  <c r="Q273" i="1"/>
  <c r="V269" i="1"/>
  <c r="V193" i="1"/>
  <c r="Q101" i="1"/>
  <c r="U38" i="1"/>
  <c r="U68" i="1"/>
  <c r="U19" i="1"/>
  <c r="V141" i="1"/>
  <c r="U141" i="1"/>
  <c r="V124" i="1"/>
  <c r="U124" i="1"/>
  <c r="Q40" i="1"/>
  <c r="Q221" i="1"/>
  <c r="Q230" i="1"/>
  <c r="U230" i="1"/>
  <c r="Q268" i="1"/>
  <c r="V173" i="1"/>
  <c r="U173" i="1"/>
  <c r="U188" i="1"/>
  <c r="V155" i="1"/>
  <c r="U101" i="1"/>
  <c r="Q52" i="1"/>
  <c r="V52" i="1"/>
  <c r="Q23" i="1"/>
  <c r="V84" i="1"/>
  <c r="Q84" i="1"/>
  <c r="U3" i="1"/>
</calcChain>
</file>

<file path=xl/sharedStrings.xml><?xml version="1.0" encoding="utf-8"?>
<sst xmlns="http://schemas.openxmlformats.org/spreadsheetml/2006/main" count="80" uniqueCount="75">
  <si>
    <t>Trade ID</t>
  </si>
  <si>
    <t>Status</t>
  </si>
  <si>
    <t>Ticker</t>
  </si>
  <si>
    <t>Signal Date</t>
  </si>
  <si>
    <t>Entry Date</t>
  </si>
  <si>
    <t>Entry Price</t>
  </si>
  <si>
    <t>Shares</t>
  </si>
  <si>
    <t>Current Price</t>
  </si>
  <si>
    <t>Last Price Update</t>
  </si>
  <si>
    <t>Exit Date</t>
  </si>
  <si>
    <t>Exit Price</t>
  </si>
  <si>
    <t>Exit Reason</t>
  </si>
  <si>
    <t>Target Price</t>
  </si>
  <si>
    <t>Stop Price</t>
  </si>
  <si>
    <t>Max Hold Date</t>
  </si>
  <si>
    <t>Effective Price</t>
  </si>
  <si>
    <t>Return %</t>
  </si>
  <si>
    <t>Days Held</t>
  </si>
  <si>
    <t>Days Since Price Update</t>
  </si>
  <si>
    <t>Position Cost</t>
  </si>
  <si>
    <t>Current/Final Value</t>
  </si>
  <si>
    <t>P/L $</t>
  </si>
  <si>
    <t>Auto Exit Signal</t>
  </si>
  <si>
    <t>Action</t>
  </si>
  <si>
    <t>Notes</t>
  </si>
  <si>
    <t>Trade Tracker Dashboard</t>
  </si>
  <si>
    <t>Metric</t>
  </si>
  <si>
    <t>Value</t>
  </si>
  <si>
    <t>Open positions</t>
  </si>
  <si>
    <t>Currently active trades</t>
  </si>
  <si>
    <t>Closed trades</t>
  </si>
  <si>
    <t>Completed records</t>
  </si>
  <si>
    <t>Open sell/review signals</t>
  </si>
  <si>
    <t>Rows requiring attention</t>
  </si>
  <si>
    <t>Total realized P/L</t>
  </si>
  <si>
    <t>Closed trades only</t>
  </si>
  <si>
    <t>Total unrealized P/L</t>
  </si>
  <si>
    <t>Open trades only</t>
  </si>
  <si>
    <t>Average realized return</t>
  </si>
  <si>
    <t>Win rate</t>
  </si>
  <si>
    <t>Closed profitable trades / closed trades</t>
  </si>
  <si>
    <t>Target exits</t>
  </si>
  <si>
    <t>Closed by target</t>
  </si>
  <si>
    <t>Stop exits</t>
  </si>
  <si>
    <t>Closed by stop</t>
  </si>
  <si>
    <t>Time exits</t>
  </si>
  <si>
    <t>Closed by time rule</t>
  </si>
  <si>
    <t>Average days held</t>
  </si>
  <si>
    <t>Capital currently deployed</t>
  </si>
  <si>
    <t>Based on entry cost</t>
  </si>
  <si>
    <t>Max open positions setting</t>
  </si>
  <si>
    <t>Risk control</t>
  </si>
  <si>
    <t>Portfolio value setting</t>
  </si>
  <si>
    <t>Optional input</t>
  </si>
  <si>
    <t>Setting</t>
  </si>
  <si>
    <t>Target profit %</t>
  </si>
  <si>
    <t>Sell target; default +5%</t>
  </si>
  <si>
    <t>Stop loss %</t>
  </si>
  <si>
    <t>Max holding days</t>
  </si>
  <si>
    <t>Calendar-day version for simple manual tracking</t>
  </si>
  <si>
    <t>Max open positions</t>
  </si>
  <si>
    <t>Pilot risk control</t>
  </si>
  <si>
    <t>Position size % of portfolio</t>
  </si>
  <si>
    <t>Pilot default: 0.5% per trade</t>
  </si>
  <si>
    <t>Portfolio value</t>
  </si>
  <si>
    <t>Optional: enter your portfolio value</t>
  </si>
  <si>
    <t>Simple Manual Trade Tracker</t>
  </si>
  <si>
    <t>Use the yellow columns in Trade Log for manual entries: Ticker, Signal Date, Entry Date, Entry Price, Shares, Current Price, Last Price Update, Exit Date, Exit Price, and Notes.</t>
  </si>
  <si>
    <t>The workbook does not store model internals, model agreement, SPY values, or algorithm details.</t>
  </si>
  <si>
    <t>For an open trade, enter Current Price and Last Price Update whenever you check the trade.</t>
  </si>
  <si>
    <t>When you sell, enter Exit Date and Exit Price. The row will automatically become Closed and freeze return/P&amp;L using Exit Price.</t>
  </si>
  <si>
    <t>Auto Exit Signal uses the Settings sheet: target profit, stop loss, and max holding days.</t>
  </si>
  <si>
    <t>Dashboard summarizes open trades, closed trades, P/L, win rate, and current sell/review signals.</t>
  </si>
  <si>
    <t>Default -5%; change if your tested rule differs</t>
  </si>
  <si>
    <t>Default rule: review/sell at +5% target, -5% stop, or after 20 calendar days. Change Settings to adjust.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</si>
</sst>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0.00"/>
    <numFmt numFmtId="166" formatCode="\$#,##0.0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166" fontId="0" fillId="0" borderId="0" xfId="0" applyNumberFormat="1"/>
    <xf numFmtId="10" fontId="0" fillId="0" borderId="0" xfId="0" applyNumberFormat="1"/>
    <xf numFmtId="1" fontId="0" fillId="0" borderId="0" xfId="0" applyNumberFormat="1"/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6">
    <dxf>
      <font>
        <color rgb="FF374151"/>
      </font>
      <fill>
        <patternFill patternType="solid">
          <bgColor rgb="FFE5E7EB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7F1D1D"/>
      </font>
      <fill>
        <patternFill patternType="solid">
          <bgColor rgb="FFFCA5A5"/>
        </patternFill>
      </fill>
    </dxf>
    <dxf>
      <font>
        <b/>
        <color rgb="FF991B1B"/>
      </font>
    </dxf>
    <dxf>
      <font>
        <b/>
        <color rgb="FF166534"/>
      </font>
    </dxf>
    <dxf>
      <fill>
        <patternFill patternType="solid"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LogTable" displayName="TradeLogTable" ref="A1:Y301">
  <tableColumns count="25">
    <tableColumn id="1" xr3:uid="{00000000-0010-0000-0000-000001000000}" name="Trade ID"/>
    <tableColumn id="2" xr3:uid="{00000000-0010-0000-0000-000002000000}" name="Status"/>
    <tableColumn id="3" xr3:uid="{00000000-0010-0000-0000-000003000000}" name="Ticker"/>
    <tableColumn id="4" xr3:uid="{00000000-0010-0000-0000-000004000000}" name="Signal Date"/>
    <tableColumn id="5" xr3:uid="{00000000-0010-0000-0000-000005000000}" name="Entry Date"/>
    <tableColumn id="6" xr3:uid="{00000000-0010-0000-0000-000006000000}" name="Entry Price"/>
    <tableColumn id="7" xr3:uid="{00000000-0010-0000-0000-000007000000}" name="Shares"/>
    <tableColumn id="8" xr3:uid="{00000000-0010-0000-0000-000008000000}" name="Current Price"/>
    <tableColumn id="9" xr3:uid="{00000000-0010-0000-0000-000009000000}" name="Last Price Update"/>
    <tableColumn id="10" xr3:uid="{00000000-0010-0000-0000-00000A000000}" name="Exit Date"/>
    <tableColumn id="11" xr3:uid="{00000000-0010-0000-0000-00000B000000}" name="Exit Price"/>
    <tableColumn id="12" xr3:uid="{00000000-0010-0000-0000-00000C000000}" name="Exit Reason"/>
    <tableColumn id="13" xr3:uid="{00000000-0010-0000-0000-00000D000000}" name="Target Price"/>
    <tableColumn id="14" xr3:uid="{00000000-0010-0000-0000-00000E000000}" name="Stop Price"/>
    <tableColumn id="15" xr3:uid="{00000000-0010-0000-0000-00000F000000}" name="Max Hold Date"/>
    <tableColumn id="16" xr3:uid="{00000000-0010-0000-0000-000010000000}" name="Effective Price"/>
    <tableColumn id="17" xr3:uid="{00000000-0010-0000-0000-000011000000}" name="Return %"/>
    <tableColumn id="18" xr3:uid="{00000000-0010-0000-0000-000012000000}" name="Days Held"/>
    <tableColumn id="19" xr3:uid="{00000000-0010-0000-0000-000013000000}" name="Days Since Price Update"/>
    <tableColumn id="20" xr3:uid="{00000000-0010-0000-0000-000014000000}" name="Position Cost"/>
    <tableColumn id="21" xr3:uid="{00000000-0010-0000-0000-000015000000}" name="Current/Final Value"/>
    <tableColumn id="22" xr3:uid="{00000000-0010-0000-0000-000016000000}" name="P/L $"/>
    <tableColumn id="23" xr3:uid="{00000000-0010-0000-0000-000017000000}" name="Auto Exit Signal"/>
    <tableColumn id="24" xr3:uid="{00000000-0010-0000-0000-000018000000}" name="Action"/>
    <tableColumn id="25" xr3:uid="{00000000-0010-0000-0000-00001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1"/>
  <sheetViews>
    <sheetView workbookViewId="0"/>
  </sheetViews>
  <sheetFormatPr defaultRowHeight="14.25"/>
  <cols>
    <col min="1" max="3" width="10" customWidth="1"/>
    <col min="4" max="6" width="12" customWidth="1"/>
    <col min="7" max="7" width="10" customWidth="1"/>
    <col min="8" max="8" width="12" customWidth="1"/>
    <col min="9" max="9" width="14" customWidth="1"/>
    <col min="10" max="16" width="12" customWidth="1"/>
    <col min="17" max="17" width="11" customWidth="1"/>
    <col min="18" max="18" width="10" customWidth="1"/>
    <col min="19" max="19" width="16" customWidth="1"/>
    <col min="20" max="20" width="14" customWidth="1"/>
    <col min="21" max="21" width="16" customWidth="1"/>
    <col min="22" max="22" width="12" customWidth="1"/>
    <col min="23" max="23" width="18" customWidth="1"/>
    <col min="24" max="24" width="14" customWidth="1"/>
    <col min="25" max="25" width="28" customWidth="1"/>
  </cols>
  <sheetData>
    <row r="1" spans="1:25" ht="30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8" t="s">
        <v>19</v>
      </c>
      <c r="U1" s="8" t="s">
        <v>20</v>
      </c>
      <c r="V1" s="8" t="s">
        <v>21</v>
      </c>
      <c r="W1" s="1" t="s">
        <v>22</v>
      </c>
      <c r="X1" s="1" t="s">
        <v>23</v>
      </c>
      <c r="Y1" s="1" t="s">
        <v>24</v>
      </c>
    </row>
    <row r="2" spans="1:25">
      <c r="A2" s="3" t="str">
        <f t="shared" ref="A2:A65" si="0">IF(C2="","",ROW()-1)</f>
        <v/>
      </c>
      <c r="B2" s="3" t="str">
        <f t="shared" ref="B2:B65" si="1">IF(AND(J2&lt;&gt;"",K2&lt;&gt;""),"Closed",IF(AND(C2&lt;&gt;"",E2&lt;&gt;"",F2&lt;&gt;""),"Open",""))</f>
        <v/>
      </c>
      <c r="C2" s="2"/>
      <c r="D2" s="2"/>
      <c r="E2" s="2"/>
      <c r="F2" s="2"/>
      <c r="G2" s="2"/>
      <c r="H2" s="2"/>
      <c r="I2" s="2"/>
      <c r="J2" s="2"/>
      <c r="K2" s="2"/>
      <c r="L2" s="3" t="str">
        <f>IF(B2&lt;&gt;"Closed","",IF(K2&gt;=M2,"Target",IF(K2&lt;=N2,"Stop",IF(R2&gt;=Settings!$B$4,"Time","Manual"))))</f>
        <v/>
      </c>
      <c r="M2" s="3" t="str">
        <f>IF(F2="","",F2*(1+Settings!$B$2))</f>
        <v/>
      </c>
      <c r="N2" s="3" t="str">
        <f>IF(F2="","",F2*(1-Settings!$B$3))</f>
        <v/>
      </c>
      <c r="O2" s="3" t="str">
        <f>IF(E2="","",E2+Settings!$B$4)</f>
        <v/>
      </c>
      <c r="P2" s="3" t="str">
        <f t="shared" ref="P2:P65" si="2">IF(B2="","",IF(B2="Closed",K2,IF(H2="","",H2)))</f>
        <v/>
      </c>
      <c r="Q2" s="3" t="str">
        <f t="shared" ref="Q2:Q65" si="3">IF(OR(B2="",F2="",P2=""),"",P2/F2-1)</f>
        <v/>
      </c>
      <c r="R2" s="3" t="str">
        <f t="shared" ref="R2:R65" ca="1" si="4">IF(E2="","",IF(B2="Closed",J2-E2,TODAY()-E2))</f>
        <v/>
      </c>
      <c r="S2" s="3" t="str">
        <f t="shared" ref="S2:S65" ca="1" si="5">IF(I2="","",TODAY()-I2)</f>
        <v/>
      </c>
      <c r="T2" s="3" t="str">
        <f t="shared" ref="T2:T65" si="6">IF(OR(F2="",G2=""),"",F2*G2)</f>
        <v/>
      </c>
      <c r="U2" s="3" t="str">
        <f t="shared" ref="U2:U65" si="7">IF(OR(B2="",P2="",G2=""),"",P2*G2)</f>
        <v/>
      </c>
      <c r="V2" s="3" t="str">
        <f t="shared" ref="V2:V65" si="8">IF(OR(B2="",P2="",F2="",G2=""),"",(P2-F2)*G2)</f>
        <v/>
      </c>
      <c r="W2" s="3" t="str">
        <f t="shared" ref="W2:W65" ca="1" si="9">IF(B2="Closed","CLOSED",IF(B2&lt;&gt;"Open","",IF(H2="","ENTER CURRENT PRICE",IF(H2&gt;=M2,"SELL - TARGET",IF(H2&lt;=N2,"SELL - STOP",IF(TODAY()&gt;=O2,"SELL - TIME","HOLD"))))))</f>
        <v/>
      </c>
      <c r="X2" s="3" t="str">
        <f t="shared" ref="X2:X65" ca="1" si="10">IF(W2="","",IF(W2="HOLD","Monitor",IF(W2="ENTER CURRENT PRICE","Update price",IF(W2="CLOSED","No action","Review / sell"))))</f>
        <v/>
      </c>
      <c r="Y2" s="2"/>
    </row>
    <row r="3" spans="1:25">
      <c r="A3" s="3" t="str">
        <f t="shared" si="0"/>
        <v/>
      </c>
      <c r="B3" s="3" t="str">
        <f t="shared" si="1"/>
        <v/>
      </c>
      <c r="C3" s="2"/>
      <c r="D3" s="2"/>
      <c r="E3" s="2"/>
      <c r="F3" s="2"/>
      <c r="G3" s="2"/>
      <c r="H3" s="2"/>
      <c r="I3" s="2"/>
      <c r="J3" s="2"/>
      <c r="K3" s="2"/>
      <c r="L3" s="3" t="str">
        <f>IF(B3&lt;&gt;"Closed","",IF(K3&gt;=M3,"Target",IF(K3&lt;=N3,"Stop",IF(R3&gt;=Settings!$B$4,"Time","Manual"))))</f>
        <v/>
      </c>
      <c r="M3" s="3" t="str">
        <f>IF(F3="","",F3*(1+Settings!$B$2))</f>
        <v/>
      </c>
      <c r="N3" s="3" t="str">
        <f>IF(F3="","",F3*(1-Settings!$B$3))</f>
        <v/>
      </c>
      <c r="O3" s="3" t="str">
        <f>IF(E3="","",E3+Settings!$B$4)</f>
        <v/>
      </c>
      <c r="P3" s="3" t="str">
        <f t="shared" si="2"/>
        <v/>
      </c>
      <c r="Q3" s="3" t="str">
        <f t="shared" si="3"/>
        <v/>
      </c>
      <c r="R3" s="3" t="str">
        <f t="shared" ca="1" si="4"/>
        <v/>
      </c>
      <c r="S3" s="3" t="str">
        <f t="shared" ca="1" si="5"/>
        <v/>
      </c>
      <c r="T3" s="3" t="str">
        <f t="shared" si="6"/>
        <v/>
      </c>
      <c r="U3" s="3" t="str">
        <f t="shared" si="7"/>
        <v/>
      </c>
      <c r="V3" s="3" t="str">
        <f t="shared" si="8"/>
        <v/>
      </c>
      <c r="W3" s="3" t="str">
        <f t="shared" ca="1" si="9"/>
        <v/>
      </c>
      <c r="X3" s="3" t="str">
        <f t="shared" ca="1" si="10"/>
        <v/>
      </c>
      <c r="Y3" s="2"/>
    </row>
    <row r="4" spans="1:25">
      <c r="A4" s="3" t="str">
        <f t="shared" si="0"/>
        <v/>
      </c>
      <c r="B4" s="3" t="str">
        <f t="shared" si="1"/>
        <v/>
      </c>
      <c r="C4" s="2"/>
      <c r="D4" s="2"/>
      <c r="E4" s="2"/>
      <c r="F4" s="2"/>
      <c r="G4" s="2"/>
      <c r="H4" s="2"/>
      <c r="I4" s="2"/>
      <c r="J4" s="2"/>
      <c r="K4" s="2"/>
      <c r="L4" s="3" t="str">
        <f>IF(B4&lt;&gt;"Closed","",IF(K4&gt;=M4,"Target",IF(K4&lt;=N4,"Stop",IF(R4&gt;=Settings!$B$4,"Time","Manual"))))</f>
        <v/>
      </c>
      <c r="M4" s="3" t="str">
        <f>IF(F4="","",F4*(1+Settings!$B$2))</f>
        <v/>
      </c>
      <c r="N4" s="3" t="str">
        <f>IF(F4="","",F4*(1-Settings!$B$3))</f>
        <v/>
      </c>
      <c r="O4" s="3" t="str">
        <f>IF(E4="","",E4+Settings!$B$4)</f>
        <v/>
      </c>
      <c r="P4" s="3" t="str">
        <f t="shared" si="2"/>
        <v/>
      </c>
      <c r="Q4" s="3" t="str">
        <f t="shared" si="3"/>
        <v/>
      </c>
      <c r="R4" s="3" t="str">
        <f t="shared" ca="1" si="4"/>
        <v/>
      </c>
      <c r="S4" s="3" t="str">
        <f t="shared" ca="1" si="5"/>
        <v/>
      </c>
      <c r="T4" s="3" t="str">
        <f t="shared" si="6"/>
        <v/>
      </c>
      <c r="U4" s="3" t="str">
        <f t="shared" si="7"/>
        <v/>
      </c>
      <c r="V4" s="3" t="str">
        <f t="shared" si="8"/>
        <v/>
      </c>
      <c r="W4" s="3" t="str">
        <f t="shared" ca="1" si="9"/>
        <v/>
      </c>
      <c r="X4" s="3" t="str">
        <f t="shared" ca="1" si="10"/>
        <v/>
      </c>
      <c r="Y4" s="2"/>
    </row>
    <row r="5" spans="1:25">
      <c r="A5" s="3" t="str">
        <f t="shared" si="0"/>
        <v/>
      </c>
      <c r="B5" s="3" t="str">
        <f t="shared" si="1"/>
        <v/>
      </c>
      <c r="C5" s="2"/>
      <c r="D5" s="2"/>
      <c r="E5" s="2"/>
      <c r="F5" s="2"/>
      <c r="G5" s="2"/>
      <c r="H5" s="2"/>
      <c r="I5" s="2"/>
      <c r="J5" s="2"/>
      <c r="K5" s="2"/>
      <c r="L5" s="3" t="str">
        <f>IF(B5&lt;&gt;"Closed","",IF(K5&gt;=M5,"Target",IF(K5&lt;=N5,"Stop",IF(R5&gt;=Settings!$B$4,"Time","Manual"))))</f>
        <v/>
      </c>
      <c r="M5" s="3" t="str">
        <f>IF(F5="","",F5*(1+Settings!$B$2))</f>
        <v/>
      </c>
      <c r="N5" s="3" t="str">
        <f>IF(F5="","",F5*(1-Settings!$B$3))</f>
        <v/>
      </c>
      <c r="O5" s="3" t="str">
        <f>IF(E5="","",E5+Settings!$B$4)</f>
        <v/>
      </c>
      <c r="P5" s="3" t="str">
        <f t="shared" si="2"/>
        <v/>
      </c>
      <c r="Q5" s="3" t="str">
        <f t="shared" si="3"/>
        <v/>
      </c>
      <c r="R5" s="3" t="str">
        <f t="shared" ca="1" si="4"/>
        <v/>
      </c>
      <c r="S5" s="3" t="str">
        <f t="shared" ca="1" si="5"/>
        <v/>
      </c>
      <c r="T5" s="3" t="str">
        <f t="shared" si="6"/>
        <v/>
      </c>
      <c r="U5" s="3" t="str">
        <f t="shared" si="7"/>
        <v/>
      </c>
      <c r="V5" s="3" t="str">
        <f t="shared" si="8"/>
        <v/>
      </c>
      <c r="W5" s="3" t="str">
        <f t="shared" ca="1" si="9"/>
        <v/>
      </c>
      <c r="X5" s="3" t="str">
        <f t="shared" ca="1" si="10"/>
        <v/>
      </c>
      <c r="Y5" s="2"/>
    </row>
    <row r="6" spans="1:25">
      <c r="A6" s="3" t="str">
        <f t="shared" si="0"/>
        <v/>
      </c>
      <c r="B6" s="3" t="str">
        <f t="shared" si="1"/>
        <v/>
      </c>
      <c r="C6" s="2"/>
      <c r="D6" s="2"/>
      <c r="E6" s="2"/>
      <c r="F6" s="2"/>
      <c r="G6" s="2"/>
      <c r="H6" s="2"/>
      <c r="I6" s="2"/>
      <c r="J6" s="2"/>
      <c r="K6" s="2"/>
      <c r="L6" s="3" t="str">
        <f>IF(B6&lt;&gt;"Closed","",IF(K6&gt;=M6,"Target",IF(K6&lt;=N6,"Stop",IF(R6&gt;=Settings!$B$4,"Time","Manual"))))</f>
        <v/>
      </c>
      <c r="M6" s="3" t="str">
        <f>IF(F6="","",F6*(1+Settings!$B$2))</f>
        <v/>
      </c>
      <c r="N6" s="3" t="str">
        <f>IF(F6="","",F6*(1-Settings!$B$3))</f>
        <v/>
      </c>
      <c r="O6" s="3" t="str">
        <f>IF(E6="","",E6+Settings!$B$4)</f>
        <v/>
      </c>
      <c r="P6" s="3" t="str">
        <f t="shared" si="2"/>
        <v/>
      </c>
      <c r="Q6" s="3" t="str">
        <f t="shared" si="3"/>
        <v/>
      </c>
      <c r="R6" s="3" t="str">
        <f t="shared" ca="1" si="4"/>
        <v/>
      </c>
      <c r="S6" s="3" t="str">
        <f t="shared" ca="1" si="5"/>
        <v/>
      </c>
      <c r="T6" s="3" t="str">
        <f t="shared" si="6"/>
        <v/>
      </c>
      <c r="U6" s="3" t="str">
        <f t="shared" si="7"/>
        <v/>
      </c>
      <c r="V6" s="3" t="str">
        <f t="shared" si="8"/>
        <v/>
      </c>
      <c r="W6" s="3" t="str">
        <f t="shared" ca="1" si="9"/>
        <v/>
      </c>
      <c r="X6" s="3" t="str">
        <f t="shared" ca="1" si="10"/>
        <v/>
      </c>
      <c r="Y6" s="2"/>
    </row>
    <row r="7" spans="1:25">
      <c r="A7" s="3" t="str">
        <f t="shared" si="0"/>
        <v/>
      </c>
      <c r="B7" s="3" t="str">
        <f t="shared" si="1"/>
        <v/>
      </c>
      <c r="C7" s="2"/>
      <c r="D7" s="2"/>
      <c r="E7" s="2"/>
      <c r="F7" s="2"/>
      <c r="G7" s="2"/>
      <c r="H7" s="2"/>
      <c r="I7" s="2"/>
      <c r="J7" s="2"/>
      <c r="K7" s="2"/>
      <c r="L7" s="3" t="str">
        <f>IF(B7&lt;&gt;"Closed","",IF(K7&gt;=M7,"Target",IF(K7&lt;=N7,"Stop",IF(R7&gt;=Settings!$B$4,"Time","Manual"))))</f>
        <v/>
      </c>
      <c r="M7" s="3" t="str">
        <f>IF(F7="","",F7*(1+Settings!$B$2))</f>
        <v/>
      </c>
      <c r="N7" s="3" t="str">
        <f>IF(F7="","",F7*(1-Settings!$B$3))</f>
        <v/>
      </c>
      <c r="O7" s="3" t="str">
        <f>IF(E7="","",E7+Settings!$B$4)</f>
        <v/>
      </c>
      <c r="P7" s="3" t="str">
        <f t="shared" si="2"/>
        <v/>
      </c>
      <c r="Q7" s="3" t="str">
        <f t="shared" si="3"/>
        <v/>
      </c>
      <c r="R7" s="3" t="str">
        <f t="shared" ca="1" si="4"/>
        <v/>
      </c>
      <c r="S7" s="3" t="str">
        <f t="shared" ca="1" si="5"/>
        <v/>
      </c>
      <c r="T7" s="3" t="str">
        <f t="shared" si="6"/>
        <v/>
      </c>
      <c r="U7" s="3" t="str">
        <f t="shared" si="7"/>
        <v/>
      </c>
      <c r="V7" s="3" t="str">
        <f t="shared" si="8"/>
        <v/>
      </c>
      <c r="W7" s="3" t="str">
        <f t="shared" ca="1" si="9"/>
        <v/>
      </c>
      <c r="X7" s="3" t="str">
        <f t="shared" ca="1" si="10"/>
        <v/>
      </c>
      <c r="Y7" s="2"/>
    </row>
    <row r="8" spans="1:25">
      <c r="A8" s="3" t="str">
        <f t="shared" si="0"/>
        <v/>
      </c>
      <c r="B8" s="3" t="str">
        <f t="shared" si="1"/>
        <v/>
      </c>
      <c r="C8" s="2"/>
      <c r="D8" s="2"/>
      <c r="E8" s="2"/>
      <c r="F8" s="2"/>
      <c r="G8" s="2"/>
      <c r="H8" s="2"/>
      <c r="I8" s="2"/>
      <c r="J8" s="2"/>
      <c r="K8" s="2"/>
      <c r="L8" s="3" t="str">
        <f>IF(B8&lt;&gt;"Closed","",IF(K8&gt;=M8,"Target",IF(K8&lt;=N8,"Stop",IF(R8&gt;=Settings!$B$4,"Time","Manual"))))</f>
        <v/>
      </c>
      <c r="M8" s="3" t="str">
        <f>IF(F8="","",F8*(1+Settings!$B$2))</f>
        <v/>
      </c>
      <c r="N8" s="3" t="str">
        <f>IF(F8="","",F8*(1-Settings!$B$3))</f>
        <v/>
      </c>
      <c r="O8" s="3" t="str">
        <f>IF(E8="","",E8+Settings!$B$4)</f>
        <v/>
      </c>
      <c r="P8" s="3" t="str">
        <f t="shared" si="2"/>
        <v/>
      </c>
      <c r="Q8" s="3" t="str">
        <f t="shared" si="3"/>
        <v/>
      </c>
      <c r="R8" s="3" t="str">
        <f t="shared" ca="1" si="4"/>
        <v/>
      </c>
      <c r="S8" s="3" t="str">
        <f t="shared" ca="1" si="5"/>
        <v/>
      </c>
      <c r="T8" s="3" t="str">
        <f t="shared" si="6"/>
        <v/>
      </c>
      <c r="U8" s="3" t="str">
        <f t="shared" si="7"/>
        <v/>
      </c>
      <c r="V8" s="3" t="str">
        <f t="shared" si="8"/>
        <v/>
      </c>
      <c r="W8" s="3" t="str">
        <f t="shared" ca="1" si="9"/>
        <v/>
      </c>
      <c r="X8" s="3" t="str">
        <f t="shared" ca="1" si="10"/>
        <v/>
      </c>
      <c r="Y8" s="2"/>
    </row>
    <row r="9" spans="1:25">
      <c r="A9" s="3" t="str">
        <f t="shared" si="0"/>
        <v/>
      </c>
      <c r="B9" s="3" t="str">
        <f t="shared" si="1"/>
        <v/>
      </c>
      <c r="C9" s="2"/>
      <c r="D9" s="2"/>
      <c r="E9" s="2"/>
      <c r="F9" s="2"/>
      <c r="G9" s="2"/>
      <c r="H9" s="2"/>
      <c r="I9" s="2"/>
      <c r="J9" s="2"/>
      <c r="K9" s="2"/>
      <c r="L9" s="3" t="str">
        <f>IF(B9&lt;&gt;"Closed","",IF(K9&gt;=M9,"Target",IF(K9&lt;=N9,"Stop",IF(R9&gt;=Settings!$B$4,"Time","Manual"))))</f>
        <v/>
      </c>
      <c r="M9" s="3" t="str">
        <f>IF(F9="","",F9*(1+Settings!$B$2))</f>
        <v/>
      </c>
      <c r="N9" s="3" t="str">
        <f>IF(F9="","",F9*(1-Settings!$B$3))</f>
        <v/>
      </c>
      <c r="O9" s="3" t="str">
        <f>IF(E9="","",E9+Settings!$B$4)</f>
        <v/>
      </c>
      <c r="P9" s="3" t="str">
        <f t="shared" si="2"/>
        <v/>
      </c>
      <c r="Q9" s="3" t="str">
        <f t="shared" si="3"/>
        <v/>
      </c>
      <c r="R9" s="3" t="str">
        <f t="shared" ca="1" si="4"/>
        <v/>
      </c>
      <c r="S9" s="3" t="str">
        <f t="shared" ca="1" si="5"/>
        <v/>
      </c>
      <c r="T9" s="3" t="str">
        <f t="shared" si="6"/>
        <v/>
      </c>
      <c r="U9" s="3" t="str">
        <f t="shared" si="7"/>
        <v/>
      </c>
      <c r="V9" s="3" t="str">
        <f t="shared" si="8"/>
        <v/>
      </c>
      <c r="W9" s="3" t="str">
        <f t="shared" ca="1" si="9"/>
        <v/>
      </c>
      <c r="X9" s="3" t="str">
        <f t="shared" ca="1" si="10"/>
        <v/>
      </c>
      <c r="Y9" s="2"/>
    </row>
    <row r="10" spans="1:25">
      <c r="A10" s="3" t="str">
        <f t="shared" si="0"/>
        <v/>
      </c>
      <c r="B10" s="3" t="str">
        <f t="shared" si="1"/>
        <v/>
      </c>
      <c r="C10" s="2"/>
      <c r="D10" s="2"/>
      <c r="E10" s="2"/>
      <c r="F10" s="2"/>
      <c r="G10" s="2"/>
      <c r="H10" s="2"/>
      <c r="I10" s="2"/>
      <c r="J10" s="2"/>
      <c r="K10" s="2"/>
      <c r="L10" s="3" t="str">
        <f>IF(B10&lt;&gt;"Closed","",IF(K10&gt;=M10,"Target",IF(K10&lt;=N10,"Stop",IF(R10&gt;=Settings!$B$4,"Time","Manual"))))</f>
        <v/>
      </c>
      <c r="M10" s="3" t="str">
        <f>IF(F10="","",F10*(1+Settings!$B$2))</f>
        <v/>
      </c>
      <c r="N10" s="3" t="str">
        <f>IF(F10="","",F10*(1-Settings!$B$3))</f>
        <v/>
      </c>
      <c r="O10" s="3" t="str">
        <f>IF(E10="","",E10+Settings!$B$4)</f>
        <v/>
      </c>
      <c r="P10" s="3" t="str">
        <f t="shared" si="2"/>
        <v/>
      </c>
      <c r="Q10" s="3" t="str">
        <f t="shared" si="3"/>
        <v/>
      </c>
      <c r="R10" s="3" t="str">
        <f t="shared" ca="1" si="4"/>
        <v/>
      </c>
      <c r="S10" s="3" t="str">
        <f t="shared" ca="1" si="5"/>
        <v/>
      </c>
      <c r="T10" s="3" t="str">
        <f t="shared" si="6"/>
        <v/>
      </c>
      <c r="U10" s="3" t="str">
        <f t="shared" si="7"/>
        <v/>
      </c>
      <c r="V10" s="3" t="str">
        <f t="shared" si="8"/>
        <v/>
      </c>
      <c r="W10" s="3" t="str">
        <f t="shared" ca="1" si="9"/>
        <v/>
      </c>
      <c r="X10" s="3" t="str">
        <f t="shared" ca="1" si="10"/>
        <v/>
      </c>
      <c r="Y10" s="2"/>
    </row>
    <row r="11" spans="1:25">
      <c r="A11" s="3" t="str">
        <f t="shared" si="0"/>
        <v/>
      </c>
      <c r="B11" s="3" t="str">
        <f t="shared" si="1"/>
        <v/>
      </c>
      <c r="C11" s="2"/>
      <c r="D11" s="2"/>
      <c r="E11" s="2"/>
      <c r="F11" s="2"/>
      <c r="G11" s="2"/>
      <c r="H11" s="2"/>
      <c r="I11" s="2"/>
      <c r="J11" s="2"/>
      <c r="K11" s="2"/>
      <c r="L11" s="3" t="str">
        <f>IF(B11&lt;&gt;"Closed","",IF(K11&gt;=M11,"Target",IF(K11&lt;=N11,"Stop",IF(R11&gt;=Settings!$B$4,"Time","Manual"))))</f>
        <v/>
      </c>
      <c r="M11" s="3" t="str">
        <f>IF(F11="","",F11*(1+Settings!$B$2))</f>
        <v/>
      </c>
      <c r="N11" s="3" t="str">
        <f>IF(F11="","",F11*(1-Settings!$B$3))</f>
        <v/>
      </c>
      <c r="O11" s="3" t="str">
        <f>IF(E11="","",E11+Settings!$B$4)</f>
        <v/>
      </c>
      <c r="P11" s="3" t="str">
        <f t="shared" si="2"/>
        <v/>
      </c>
      <c r="Q11" s="3" t="str">
        <f t="shared" si="3"/>
        <v/>
      </c>
      <c r="R11" s="3" t="str">
        <f t="shared" ca="1" si="4"/>
        <v/>
      </c>
      <c r="S11" s="3" t="str">
        <f t="shared" ca="1" si="5"/>
        <v/>
      </c>
      <c r="T11" s="3" t="str">
        <f t="shared" si="6"/>
        <v/>
      </c>
      <c r="U11" s="3" t="str">
        <f t="shared" si="7"/>
        <v/>
      </c>
      <c r="V11" s="3" t="str">
        <f t="shared" si="8"/>
        <v/>
      </c>
      <c r="W11" s="3" t="str">
        <f t="shared" ca="1" si="9"/>
        <v/>
      </c>
      <c r="X11" s="3" t="str">
        <f t="shared" ca="1" si="10"/>
        <v/>
      </c>
      <c r="Y11" s="2"/>
    </row>
    <row r="12" spans="1:25">
      <c r="A12" s="3" t="str">
        <f t="shared" si="0"/>
        <v/>
      </c>
      <c r="B12" s="3" t="str">
        <f t="shared" si="1"/>
        <v/>
      </c>
      <c r="C12" s="2"/>
      <c r="D12" s="2"/>
      <c r="E12" s="2"/>
      <c r="F12" s="2"/>
      <c r="G12" s="2"/>
      <c r="H12" s="2"/>
      <c r="I12" s="2"/>
      <c r="J12" s="2"/>
      <c r="K12" s="2"/>
      <c r="L12" s="3" t="str">
        <f>IF(B12&lt;&gt;"Closed","",IF(K12&gt;=M12,"Target",IF(K12&lt;=N12,"Stop",IF(R12&gt;=Settings!$B$4,"Time","Manual"))))</f>
        <v/>
      </c>
      <c r="M12" s="3" t="str">
        <f>IF(F12="","",F12*(1+Settings!$B$2))</f>
        <v/>
      </c>
      <c r="N12" s="3" t="str">
        <f>IF(F12="","",F12*(1-Settings!$B$3))</f>
        <v/>
      </c>
      <c r="O12" s="3" t="str">
        <f>IF(E12="","",E12+Settings!$B$4)</f>
        <v/>
      </c>
      <c r="P12" s="3" t="str">
        <f t="shared" si="2"/>
        <v/>
      </c>
      <c r="Q12" s="3" t="str">
        <f t="shared" si="3"/>
        <v/>
      </c>
      <c r="R12" s="3" t="str">
        <f t="shared" ca="1" si="4"/>
        <v/>
      </c>
      <c r="S12" s="3" t="str">
        <f t="shared" ca="1" si="5"/>
        <v/>
      </c>
      <c r="T12" s="3" t="str">
        <f t="shared" si="6"/>
        <v/>
      </c>
      <c r="U12" s="3" t="str">
        <f t="shared" si="7"/>
        <v/>
      </c>
      <c r="V12" s="3" t="str">
        <f t="shared" si="8"/>
        <v/>
      </c>
      <c r="W12" s="3" t="str">
        <f t="shared" ca="1" si="9"/>
        <v/>
      </c>
      <c r="X12" s="3" t="str">
        <f t="shared" ca="1" si="10"/>
        <v/>
      </c>
      <c r="Y12" s="2"/>
    </row>
    <row r="13" spans="1:25">
      <c r="A13" s="3" t="str">
        <f t="shared" si="0"/>
        <v/>
      </c>
      <c r="B13" s="3" t="str">
        <f t="shared" si="1"/>
        <v/>
      </c>
      <c r="C13" s="2"/>
      <c r="D13" s="2"/>
      <c r="E13" s="2"/>
      <c r="F13" s="2"/>
      <c r="G13" s="2"/>
      <c r="H13" s="2"/>
      <c r="I13" s="2"/>
      <c r="J13" s="2"/>
      <c r="K13" s="2"/>
      <c r="L13" s="3" t="str">
        <f>IF(B13&lt;&gt;"Closed","",IF(K13&gt;=M13,"Target",IF(K13&lt;=N13,"Stop",IF(R13&gt;=Settings!$B$4,"Time","Manual"))))</f>
        <v/>
      </c>
      <c r="M13" s="3" t="str">
        <f>IF(F13="","",F13*(1+Settings!$B$2))</f>
        <v/>
      </c>
      <c r="N13" s="3" t="str">
        <f>IF(F13="","",F13*(1-Settings!$B$3))</f>
        <v/>
      </c>
      <c r="O13" s="3" t="str">
        <f>IF(E13="","",E13+Settings!$B$4)</f>
        <v/>
      </c>
      <c r="P13" s="3" t="str">
        <f t="shared" si="2"/>
        <v/>
      </c>
      <c r="Q13" s="3" t="str">
        <f t="shared" si="3"/>
        <v/>
      </c>
      <c r="R13" s="3" t="str">
        <f t="shared" ca="1" si="4"/>
        <v/>
      </c>
      <c r="S13" s="3" t="str">
        <f t="shared" ca="1" si="5"/>
        <v/>
      </c>
      <c r="T13" s="3" t="str">
        <f t="shared" si="6"/>
        <v/>
      </c>
      <c r="U13" s="3" t="str">
        <f t="shared" si="7"/>
        <v/>
      </c>
      <c r="V13" s="3" t="str">
        <f t="shared" si="8"/>
        <v/>
      </c>
      <c r="W13" s="3" t="str">
        <f t="shared" ca="1" si="9"/>
        <v/>
      </c>
      <c r="X13" s="3" t="str">
        <f t="shared" ca="1" si="10"/>
        <v/>
      </c>
      <c r="Y13" s="2"/>
    </row>
    <row r="14" spans="1:25">
      <c r="A14" s="3" t="str">
        <f t="shared" si="0"/>
        <v/>
      </c>
      <c r="B14" s="3" t="str">
        <f t="shared" si="1"/>
        <v/>
      </c>
      <c r="C14" s="2"/>
      <c r="D14" s="2"/>
      <c r="E14" s="2"/>
      <c r="F14" s="2"/>
      <c r="G14" s="2"/>
      <c r="H14" s="2"/>
      <c r="I14" s="2"/>
      <c r="J14" s="2"/>
      <c r="K14" s="2"/>
      <c r="L14" s="3" t="str">
        <f>IF(B14&lt;&gt;"Closed","",IF(K14&gt;=M14,"Target",IF(K14&lt;=N14,"Stop",IF(R14&gt;=Settings!$B$4,"Time","Manual"))))</f>
        <v/>
      </c>
      <c r="M14" s="3" t="str">
        <f>IF(F14="","",F14*(1+Settings!$B$2))</f>
        <v/>
      </c>
      <c r="N14" s="3" t="str">
        <f>IF(F14="","",F14*(1-Settings!$B$3))</f>
        <v/>
      </c>
      <c r="O14" s="3" t="str">
        <f>IF(E14="","",E14+Settings!$B$4)</f>
        <v/>
      </c>
      <c r="P14" s="3" t="str">
        <f t="shared" si="2"/>
        <v/>
      </c>
      <c r="Q14" s="3" t="str">
        <f t="shared" si="3"/>
        <v/>
      </c>
      <c r="R14" s="3" t="str">
        <f t="shared" ca="1" si="4"/>
        <v/>
      </c>
      <c r="S14" s="3" t="str">
        <f t="shared" ca="1" si="5"/>
        <v/>
      </c>
      <c r="T14" s="3" t="str">
        <f t="shared" si="6"/>
        <v/>
      </c>
      <c r="U14" s="3" t="str">
        <f t="shared" si="7"/>
        <v/>
      </c>
      <c r="V14" s="3" t="str">
        <f t="shared" si="8"/>
        <v/>
      </c>
      <c r="W14" s="3" t="str">
        <f t="shared" ca="1" si="9"/>
        <v/>
      </c>
      <c r="X14" s="3" t="str">
        <f t="shared" ca="1" si="10"/>
        <v/>
      </c>
      <c r="Y14" s="2"/>
    </row>
    <row r="15" spans="1:25">
      <c r="A15" s="3" t="str">
        <f t="shared" si="0"/>
        <v/>
      </c>
      <c r="B15" s="3" t="str">
        <f t="shared" si="1"/>
        <v/>
      </c>
      <c r="C15" s="2"/>
      <c r="D15" s="2"/>
      <c r="E15" s="2"/>
      <c r="F15" s="2"/>
      <c r="G15" s="2"/>
      <c r="H15" s="2"/>
      <c r="I15" s="2"/>
      <c r="J15" s="2"/>
      <c r="K15" s="2"/>
      <c r="L15" s="3" t="str">
        <f>IF(B15&lt;&gt;"Closed","",IF(K15&gt;=M15,"Target",IF(K15&lt;=N15,"Stop",IF(R15&gt;=Settings!$B$4,"Time","Manual"))))</f>
        <v/>
      </c>
      <c r="M15" s="3" t="str">
        <f>IF(F15="","",F15*(1+Settings!$B$2))</f>
        <v/>
      </c>
      <c r="N15" s="3" t="str">
        <f>IF(F15="","",F15*(1-Settings!$B$3))</f>
        <v/>
      </c>
      <c r="O15" s="3" t="str">
        <f>IF(E15="","",E15+Settings!$B$4)</f>
        <v/>
      </c>
      <c r="P15" s="3" t="str">
        <f t="shared" si="2"/>
        <v/>
      </c>
      <c r="Q15" s="3" t="str">
        <f t="shared" si="3"/>
        <v/>
      </c>
      <c r="R15" s="3" t="str">
        <f t="shared" ca="1" si="4"/>
        <v/>
      </c>
      <c r="S15" s="3" t="str">
        <f t="shared" ca="1" si="5"/>
        <v/>
      </c>
      <c r="T15" s="3" t="str">
        <f t="shared" si="6"/>
        <v/>
      </c>
      <c r="U15" s="3" t="str">
        <f t="shared" si="7"/>
        <v/>
      </c>
      <c r="V15" s="3" t="str">
        <f t="shared" si="8"/>
        <v/>
      </c>
      <c r="W15" s="3" t="str">
        <f t="shared" ca="1" si="9"/>
        <v/>
      </c>
      <c r="X15" s="3" t="str">
        <f t="shared" ca="1" si="10"/>
        <v/>
      </c>
      <c r="Y15" s="2"/>
    </row>
    <row r="16" spans="1:25">
      <c r="A16" s="3" t="str">
        <f t="shared" si="0"/>
        <v/>
      </c>
      <c r="B16" s="3" t="str">
        <f t="shared" si="1"/>
        <v/>
      </c>
      <c r="C16" s="2"/>
      <c r="D16" s="2"/>
      <c r="E16" s="2"/>
      <c r="F16" s="2"/>
      <c r="G16" s="2"/>
      <c r="H16" s="2"/>
      <c r="I16" s="2"/>
      <c r="J16" s="2"/>
      <c r="K16" s="2"/>
      <c r="L16" s="3" t="str">
        <f>IF(B16&lt;&gt;"Closed","",IF(K16&gt;=M16,"Target",IF(K16&lt;=N16,"Stop",IF(R16&gt;=Settings!$B$4,"Time","Manual"))))</f>
        <v/>
      </c>
      <c r="M16" s="3" t="str">
        <f>IF(F16="","",F16*(1+Settings!$B$2))</f>
        <v/>
      </c>
      <c r="N16" s="3" t="str">
        <f>IF(F16="","",F16*(1-Settings!$B$3))</f>
        <v/>
      </c>
      <c r="O16" s="3" t="str">
        <f>IF(E16="","",E16+Settings!$B$4)</f>
        <v/>
      </c>
      <c r="P16" s="3" t="str">
        <f t="shared" si="2"/>
        <v/>
      </c>
      <c r="Q16" s="3" t="str">
        <f t="shared" si="3"/>
        <v/>
      </c>
      <c r="R16" s="3" t="str">
        <f t="shared" ca="1" si="4"/>
        <v/>
      </c>
      <c r="S16" s="3" t="str">
        <f t="shared" ca="1" si="5"/>
        <v/>
      </c>
      <c r="T16" s="3" t="str">
        <f t="shared" si="6"/>
        <v/>
      </c>
      <c r="U16" s="3" t="str">
        <f t="shared" si="7"/>
        <v/>
      </c>
      <c r="V16" s="3" t="str">
        <f t="shared" si="8"/>
        <v/>
      </c>
      <c r="W16" s="3" t="str">
        <f t="shared" ca="1" si="9"/>
        <v/>
      </c>
      <c r="X16" s="3" t="str">
        <f t="shared" ca="1" si="10"/>
        <v/>
      </c>
      <c r="Y16" s="2"/>
    </row>
    <row r="17" spans="1:25">
      <c r="A17" s="3" t="str">
        <f t="shared" si="0"/>
        <v/>
      </c>
      <c r="B17" s="3" t="str">
        <f t="shared" si="1"/>
        <v/>
      </c>
      <c r="C17" s="2"/>
      <c r="D17" s="2"/>
      <c r="E17" s="2"/>
      <c r="F17" s="2"/>
      <c r="G17" s="2"/>
      <c r="H17" s="2"/>
      <c r="I17" s="2"/>
      <c r="J17" s="2"/>
      <c r="K17" s="2"/>
      <c r="L17" s="3" t="str">
        <f>IF(B17&lt;&gt;"Closed","",IF(K17&gt;=M17,"Target",IF(K17&lt;=N17,"Stop",IF(R17&gt;=Settings!$B$4,"Time","Manual"))))</f>
        <v/>
      </c>
      <c r="M17" s="3" t="str">
        <f>IF(F17="","",F17*(1+Settings!$B$2))</f>
        <v/>
      </c>
      <c r="N17" s="3" t="str">
        <f>IF(F17="","",F17*(1-Settings!$B$3))</f>
        <v/>
      </c>
      <c r="O17" s="3" t="str">
        <f>IF(E17="","",E17+Settings!$B$4)</f>
        <v/>
      </c>
      <c r="P17" s="3" t="str">
        <f t="shared" si="2"/>
        <v/>
      </c>
      <c r="Q17" s="3" t="str">
        <f t="shared" si="3"/>
        <v/>
      </c>
      <c r="R17" s="3" t="str">
        <f t="shared" ca="1" si="4"/>
        <v/>
      </c>
      <c r="S17" s="3" t="str">
        <f t="shared" ca="1" si="5"/>
        <v/>
      </c>
      <c r="T17" s="3" t="str">
        <f t="shared" si="6"/>
        <v/>
      </c>
      <c r="U17" s="3" t="str">
        <f t="shared" si="7"/>
        <v/>
      </c>
      <c r="V17" s="3" t="str">
        <f t="shared" si="8"/>
        <v/>
      </c>
      <c r="W17" s="3" t="str">
        <f t="shared" ca="1" si="9"/>
        <v/>
      </c>
      <c r="X17" s="3" t="str">
        <f t="shared" ca="1" si="10"/>
        <v/>
      </c>
      <c r="Y17" s="2"/>
    </row>
    <row r="18" spans="1:25">
      <c r="A18" s="3" t="str">
        <f t="shared" si="0"/>
        <v/>
      </c>
      <c r="B18" s="3" t="str">
        <f t="shared" si="1"/>
        <v/>
      </c>
      <c r="C18" s="2"/>
      <c r="D18" s="2"/>
      <c r="E18" s="2"/>
      <c r="F18" s="2"/>
      <c r="G18" s="2"/>
      <c r="H18" s="2"/>
      <c r="I18" s="2"/>
      <c r="J18" s="2"/>
      <c r="K18" s="2"/>
      <c r="L18" s="3" t="str">
        <f>IF(B18&lt;&gt;"Closed","",IF(K18&gt;=M18,"Target",IF(K18&lt;=N18,"Stop",IF(R18&gt;=Settings!$B$4,"Time","Manual"))))</f>
        <v/>
      </c>
      <c r="M18" s="3" t="str">
        <f>IF(F18="","",F18*(1+Settings!$B$2))</f>
        <v/>
      </c>
      <c r="N18" s="3" t="str">
        <f>IF(F18="","",F18*(1-Settings!$B$3))</f>
        <v/>
      </c>
      <c r="O18" s="3" t="str">
        <f>IF(E18="","",E18+Settings!$B$4)</f>
        <v/>
      </c>
      <c r="P18" s="3" t="str">
        <f t="shared" si="2"/>
        <v/>
      </c>
      <c r="Q18" s="3" t="str">
        <f t="shared" si="3"/>
        <v/>
      </c>
      <c r="R18" s="3" t="str">
        <f t="shared" ca="1" si="4"/>
        <v/>
      </c>
      <c r="S18" s="3" t="str">
        <f t="shared" ca="1" si="5"/>
        <v/>
      </c>
      <c r="T18" s="3" t="str">
        <f t="shared" si="6"/>
        <v/>
      </c>
      <c r="U18" s="3" t="str">
        <f t="shared" si="7"/>
        <v/>
      </c>
      <c r="V18" s="3" t="str">
        <f t="shared" si="8"/>
        <v/>
      </c>
      <c r="W18" s="3" t="str">
        <f t="shared" ca="1" si="9"/>
        <v/>
      </c>
      <c r="X18" s="3" t="str">
        <f t="shared" ca="1" si="10"/>
        <v/>
      </c>
      <c r="Y18" s="2"/>
    </row>
    <row r="19" spans="1:25">
      <c r="A19" s="3" t="str">
        <f t="shared" si="0"/>
        <v/>
      </c>
      <c r="B19" s="3" t="str">
        <f t="shared" si="1"/>
        <v/>
      </c>
      <c r="C19" s="2"/>
      <c r="D19" s="2"/>
      <c r="E19" s="2"/>
      <c r="F19" s="2"/>
      <c r="G19" s="2"/>
      <c r="H19" s="2"/>
      <c r="I19" s="2"/>
      <c r="J19" s="2"/>
      <c r="K19" s="2"/>
      <c r="L19" s="3" t="str">
        <f>IF(B19&lt;&gt;"Closed","",IF(K19&gt;=M19,"Target",IF(K19&lt;=N19,"Stop",IF(R19&gt;=Settings!$B$4,"Time","Manual"))))</f>
        <v/>
      </c>
      <c r="M19" s="3" t="str">
        <f>IF(F19="","",F19*(1+Settings!$B$2))</f>
        <v/>
      </c>
      <c r="N19" s="3" t="str">
        <f>IF(F19="","",F19*(1-Settings!$B$3))</f>
        <v/>
      </c>
      <c r="O19" s="3" t="str">
        <f>IF(E19="","",E19+Settings!$B$4)</f>
        <v/>
      </c>
      <c r="P19" s="3" t="str">
        <f t="shared" si="2"/>
        <v/>
      </c>
      <c r="Q19" s="3" t="str">
        <f t="shared" si="3"/>
        <v/>
      </c>
      <c r="R19" s="3" t="str">
        <f t="shared" ca="1" si="4"/>
        <v/>
      </c>
      <c r="S19" s="3" t="str">
        <f t="shared" ca="1" si="5"/>
        <v/>
      </c>
      <c r="T19" s="3" t="str">
        <f t="shared" si="6"/>
        <v/>
      </c>
      <c r="U19" s="3" t="str">
        <f t="shared" si="7"/>
        <v/>
      </c>
      <c r="V19" s="3" t="str">
        <f t="shared" si="8"/>
        <v/>
      </c>
      <c r="W19" s="3" t="str">
        <f t="shared" ca="1" si="9"/>
        <v/>
      </c>
      <c r="X19" s="3" t="str">
        <f t="shared" ca="1" si="10"/>
        <v/>
      </c>
      <c r="Y19" s="2"/>
    </row>
    <row r="20" spans="1:25">
      <c r="A20" s="3" t="str">
        <f t="shared" si="0"/>
        <v/>
      </c>
      <c r="B20" s="3" t="str">
        <f t="shared" si="1"/>
        <v/>
      </c>
      <c r="C20" s="2"/>
      <c r="D20" s="2"/>
      <c r="E20" s="2"/>
      <c r="F20" s="2"/>
      <c r="G20" s="2"/>
      <c r="H20" s="2"/>
      <c r="I20" s="2"/>
      <c r="J20" s="2"/>
      <c r="K20" s="2"/>
      <c r="L20" s="3" t="str">
        <f>IF(B20&lt;&gt;"Closed","",IF(K20&gt;=M20,"Target",IF(K20&lt;=N20,"Stop",IF(R20&gt;=Settings!$B$4,"Time","Manual"))))</f>
        <v/>
      </c>
      <c r="M20" s="3" t="str">
        <f>IF(F20="","",F20*(1+Settings!$B$2))</f>
        <v/>
      </c>
      <c r="N20" s="3" t="str">
        <f>IF(F20="","",F20*(1-Settings!$B$3))</f>
        <v/>
      </c>
      <c r="O20" s="3" t="str">
        <f>IF(E20="","",E20+Settings!$B$4)</f>
        <v/>
      </c>
      <c r="P20" s="3" t="str">
        <f t="shared" si="2"/>
        <v/>
      </c>
      <c r="Q20" s="3" t="str">
        <f t="shared" si="3"/>
        <v/>
      </c>
      <c r="R20" s="3" t="str">
        <f t="shared" ca="1" si="4"/>
        <v/>
      </c>
      <c r="S20" s="3" t="str">
        <f t="shared" ca="1" si="5"/>
        <v/>
      </c>
      <c r="T20" s="3" t="str">
        <f t="shared" si="6"/>
        <v/>
      </c>
      <c r="U20" s="3" t="str">
        <f t="shared" si="7"/>
        <v/>
      </c>
      <c r="V20" s="3" t="str">
        <f t="shared" si="8"/>
        <v/>
      </c>
      <c r="W20" s="3" t="str">
        <f t="shared" ca="1" si="9"/>
        <v/>
      </c>
      <c r="X20" s="3" t="str">
        <f t="shared" ca="1" si="10"/>
        <v/>
      </c>
      <c r="Y20" s="2"/>
    </row>
    <row r="21" spans="1:25">
      <c r="A21" s="3" t="str">
        <f t="shared" si="0"/>
        <v/>
      </c>
      <c r="B21" s="3" t="str">
        <f t="shared" si="1"/>
        <v/>
      </c>
      <c r="C21" s="2"/>
      <c r="D21" s="2"/>
      <c r="E21" s="2"/>
      <c r="F21" s="2"/>
      <c r="G21" s="2"/>
      <c r="H21" s="2"/>
      <c r="I21" s="2"/>
      <c r="J21" s="2"/>
      <c r="K21" s="2"/>
      <c r="L21" s="3" t="str">
        <f>IF(B21&lt;&gt;"Closed","",IF(K21&gt;=M21,"Target",IF(K21&lt;=N21,"Stop",IF(R21&gt;=Settings!$B$4,"Time","Manual"))))</f>
        <v/>
      </c>
      <c r="M21" s="3" t="str">
        <f>IF(F21="","",F21*(1+Settings!$B$2))</f>
        <v/>
      </c>
      <c r="N21" s="3" t="str">
        <f>IF(F21="","",F21*(1-Settings!$B$3))</f>
        <v/>
      </c>
      <c r="O21" s="3" t="str">
        <f>IF(E21="","",E21+Settings!$B$4)</f>
        <v/>
      </c>
      <c r="P21" s="3" t="str">
        <f t="shared" si="2"/>
        <v/>
      </c>
      <c r="Q21" s="3" t="str">
        <f t="shared" si="3"/>
        <v/>
      </c>
      <c r="R21" s="3" t="str">
        <f t="shared" ca="1" si="4"/>
        <v/>
      </c>
      <c r="S21" s="3" t="str">
        <f t="shared" ca="1" si="5"/>
        <v/>
      </c>
      <c r="T21" s="3" t="str">
        <f t="shared" si="6"/>
        <v/>
      </c>
      <c r="U21" s="3" t="str">
        <f t="shared" si="7"/>
        <v/>
      </c>
      <c r="V21" s="3" t="str">
        <f t="shared" si="8"/>
        <v/>
      </c>
      <c r="W21" s="3" t="str">
        <f t="shared" ca="1" si="9"/>
        <v/>
      </c>
      <c r="X21" s="3" t="str">
        <f t="shared" ca="1" si="10"/>
        <v/>
      </c>
      <c r="Y21" s="2"/>
    </row>
    <row r="22" spans="1:25">
      <c r="A22" s="3" t="str">
        <f t="shared" si="0"/>
        <v/>
      </c>
      <c r="B22" s="3" t="str">
        <f t="shared" si="1"/>
        <v/>
      </c>
      <c r="C22" s="2"/>
      <c r="D22" s="2"/>
      <c r="E22" s="2"/>
      <c r="F22" s="2"/>
      <c r="G22" s="2"/>
      <c r="H22" s="2"/>
      <c r="I22" s="2"/>
      <c r="J22" s="2"/>
      <c r="K22" s="2"/>
      <c r="L22" s="3" t="str">
        <f>IF(B22&lt;&gt;"Closed","",IF(K22&gt;=M22,"Target",IF(K22&lt;=N22,"Stop",IF(R22&gt;=Settings!$B$4,"Time","Manual"))))</f>
        <v/>
      </c>
      <c r="M22" s="3" t="str">
        <f>IF(F22="","",F22*(1+Settings!$B$2))</f>
        <v/>
      </c>
      <c r="N22" s="3" t="str">
        <f>IF(F22="","",F22*(1-Settings!$B$3))</f>
        <v/>
      </c>
      <c r="O22" s="3" t="str">
        <f>IF(E22="","",E22+Settings!$B$4)</f>
        <v/>
      </c>
      <c r="P22" s="3" t="str">
        <f t="shared" si="2"/>
        <v/>
      </c>
      <c r="Q22" s="3" t="str">
        <f t="shared" si="3"/>
        <v/>
      </c>
      <c r="R22" s="3" t="str">
        <f t="shared" ca="1" si="4"/>
        <v/>
      </c>
      <c r="S22" s="3" t="str">
        <f t="shared" ca="1" si="5"/>
        <v/>
      </c>
      <c r="T22" s="3" t="str">
        <f t="shared" si="6"/>
        <v/>
      </c>
      <c r="U22" s="3" t="str">
        <f t="shared" si="7"/>
        <v/>
      </c>
      <c r="V22" s="3" t="str">
        <f t="shared" si="8"/>
        <v/>
      </c>
      <c r="W22" s="3" t="str">
        <f t="shared" ca="1" si="9"/>
        <v/>
      </c>
      <c r="X22" s="3" t="str">
        <f t="shared" ca="1" si="10"/>
        <v/>
      </c>
      <c r="Y22" s="2"/>
    </row>
    <row r="23" spans="1:25">
      <c r="A23" s="3" t="str">
        <f t="shared" si="0"/>
        <v/>
      </c>
      <c r="B23" s="3" t="str">
        <f t="shared" si="1"/>
        <v/>
      </c>
      <c r="C23" s="2"/>
      <c r="D23" s="2"/>
      <c r="E23" s="2"/>
      <c r="F23" s="2"/>
      <c r="G23" s="2"/>
      <c r="H23" s="2"/>
      <c r="I23" s="2"/>
      <c r="J23" s="2"/>
      <c r="K23" s="2"/>
      <c r="L23" s="3" t="str">
        <f>IF(B23&lt;&gt;"Closed","",IF(K23&gt;=M23,"Target",IF(K23&lt;=N23,"Stop",IF(R23&gt;=Settings!$B$4,"Time","Manual"))))</f>
        <v/>
      </c>
      <c r="M23" s="3" t="str">
        <f>IF(F23="","",F23*(1+Settings!$B$2))</f>
        <v/>
      </c>
      <c r="N23" s="3" t="str">
        <f>IF(F23="","",F23*(1-Settings!$B$3))</f>
        <v/>
      </c>
      <c r="O23" s="3" t="str">
        <f>IF(E23="","",E23+Settings!$B$4)</f>
        <v/>
      </c>
      <c r="P23" s="3" t="str">
        <f t="shared" si="2"/>
        <v/>
      </c>
      <c r="Q23" s="3" t="str">
        <f t="shared" si="3"/>
        <v/>
      </c>
      <c r="R23" s="3" t="str">
        <f t="shared" ca="1" si="4"/>
        <v/>
      </c>
      <c r="S23" s="3" t="str">
        <f t="shared" ca="1" si="5"/>
        <v/>
      </c>
      <c r="T23" s="3" t="str">
        <f t="shared" si="6"/>
        <v/>
      </c>
      <c r="U23" s="3" t="str">
        <f t="shared" si="7"/>
        <v/>
      </c>
      <c r="V23" s="3" t="str">
        <f t="shared" si="8"/>
        <v/>
      </c>
      <c r="W23" s="3" t="str">
        <f t="shared" ca="1" si="9"/>
        <v/>
      </c>
      <c r="X23" s="3" t="str">
        <f t="shared" ca="1" si="10"/>
        <v/>
      </c>
      <c r="Y23" s="2"/>
    </row>
    <row r="24" spans="1:25">
      <c r="A24" s="3" t="str">
        <f t="shared" si="0"/>
        <v/>
      </c>
      <c r="B24" s="3" t="str">
        <f t="shared" si="1"/>
        <v/>
      </c>
      <c r="C24" s="2"/>
      <c r="D24" s="2"/>
      <c r="E24" s="2"/>
      <c r="F24" s="2"/>
      <c r="G24" s="2"/>
      <c r="H24" s="2"/>
      <c r="I24" s="2"/>
      <c r="J24" s="2"/>
      <c r="K24" s="2"/>
      <c r="L24" s="3" t="str">
        <f>IF(B24&lt;&gt;"Closed","",IF(K24&gt;=M24,"Target",IF(K24&lt;=N24,"Stop",IF(R24&gt;=Settings!$B$4,"Time","Manual"))))</f>
        <v/>
      </c>
      <c r="M24" s="3" t="str">
        <f>IF(F24="","",F24*(1+Settings!$B$2))</f>
        <v/>
      </c>
      <c r="N24" s="3" t="str">
        <f>IF(F24="","",F24*(1-Settings!$B$3))</f>
        <v/>
      </c>
      <c r="O24" s="3" t="str">
        <f>IF(E24="","",E24+Settings!$B$4)</f>
        <v/>
      </c>
      <c r="P24" s="3" t="str">
        <f t="shared" si="2"/>
        <v/>
      </c>
      <c r="Q24" s="3" t="str">
        <f t="shared" si="3"/>
        <v/>
      </c>
      <c r="R24" s="3" t="str">
        <f t="shared" ca="1" si="4"/>
        <v/>
      </c>
      <c r="S24" s="3" t="str">
        <f t="shared" ca="1" si="5"/>
        <v/>
      </c>
      <c r="T24" s="3" t="str">
        <f t="shared" si="6"/>
        <v/>
      </c>
      <c r="U24" s="3" t="str">
        <f t="shared" si="7"/>
        <v/>
      </c>
      <c r="V24" s="3" t="str">
        <f t="shared" si="8"/>
        <v/>
      </c>
      <c r="W24" s="3" t="str">
        <f t="shared" ca="1" si="9"/>
        <v/>
      </c>
      <c r="X24" s="3" t="str">
        <f t="shared" ca="1" si="10"/>
        <v/>
      </c>
      <c r="Y24" s="2"/>
    </row>
    <row r="25" spans="1:25">
      <c r="A25" s="3" t="str">
        <f t="shared" si="0"/>
        <v/>
      </c>
      <c r="B25" s="3" t="str">
        <f t="shared" si="1"/>
        <v/>
      </c>
      <c r="C25" s="2"/>
      <c r="D25" s="2"/>
      <c r="E25" s="2"/>
      <c r="F25" s="2"/>
      <c r="G25" s="2"/>
      <c r="H25" s="2"/>
      <c r="I25" s="2"/>
      <c r="J25" s="2"/>
      <c r="K25" s="2"/>
      <c r="L25" s="3" t="str">
        <f>IF(B25&lt;&gt;"Closed","",IF(K25&gt;=M25,"Target",IF(K25&lt;=N25,"Stop",IF(R25&gt;=Settings!$B$4,"Time","Manual"))))</f>
        <v/>
      </c>
      <c r="M25" s="3" t="str">
        <f>IF(F25="","",F25*(1+Settings!$B$2))</f>
        <v/>
      </c>
      <c r="N25" s="3" t="str">
        <f>IF(F25="","",F25*(1-Settings!$B$3))</f>
        <v/>
      </c>
      <c r="O25" s="3" t="str">
        <f>IF(E25="","",E25+Settings!$B$4)</f>
        <v/>
      </c>
      <c r="P25" s="3" t="str">
        <f t="shared" si="2"/>
        <v/>
      </c>
      <c r="Q25" s="3" t="str">
        <f t="shared" si="3"/>
        <v/>
      </c>
      <c r="R25" s="3" t="str">
        <f t="shared" ca="1" si="4"/>
        <v/>
      </c>
      <c r="S25" s="3" t="str">
        <f t="shared" ca="1" si="5"/>
        <v/>
      </c>
      <c r="T25" s="3" t="str">
        <f t="shared" si="6"/>
        <v/>
      </c>
      <c r="U25" s="3" t="str">
        <f t="shared" si="7"/>
        <v/>
      </c>
      <c r="V25" s="3" t="str">
        <f t="shared" si="8"/>
        <v/>
      </c>
      <c r="W25" s="3" t="str">
        <f t="shared" ca="1" si="9"/>
        <v/>
      </c>
      <c r="X25" s="3" t="str">
        <f t="shared" ca="1" si="10"/>
        <v/>
      </c>
      <c r="Y25" s="2"/>
    </row>
    <row r="26" spans="1:25">
      <c r="A26" s="3" t="str">
        <f t="shared" si="0"/>
        <v/>
      </c>
      <c r="B26" s="3" t="str">
        <f t="shared" si="1"/>
        <v/>
      </c>
      <c r="C26" s="2"/>
      <c r="D26" s="2"/>
      <c r="E26" s="2"/>
      <c r="F26" s="2"/>
      <c r="G26" s="2"/>
      <c r="H26" s="2"/>
      <c r="I26" s="2"/>
      <c r="J26" s="2"/>
      <c r="K26" s="2"/>
      <c r="L26" s="3" t="str">
        <f>IF(B26&lt;&gt;"Closed","",IF(K26&gt;=M26,"Target",IF(K26&lt;=N26,"Stop",IF(R26&gt;=Settings!$B$4,"Time","Manual"))))</f>
        <v/>
      </c>
      <c r="M26" s="3" t="str">
        <f>IF(F26="","",F26*(1+Settings!$B$2))</f>
        <v/>
      </c>
      <c r="N26" s="3" t="str">
        <f>IF(F26="","",F26*(1-Settings!$B$3))</f>
        <v/>
      </c>
      <c r="O26" s="3" t="str">
        <f>IF(E26="","",E26+Settings!$B$4)</f>
        <v/>
      </c>
      <c r="P26" s="3" t="str">
        <f t="shared" si="2"/>
        <v/>
      </c>
      <c r="Q26" s="3" t="str">
        <f t="shared" si="3"/>
        <v/>
      </c>
      <c r="R26" s="3" t="str">
        <f t="shared" ca="1" si="4"/>
        <v/>
      </c>
      <c r="S26" s="3" t="str">
        <f t="shared" ca="1" si="5"/>
        <v/>
      </c>
      <c r="T26" s="3" t="str">
        <f t="shared" si="6"/>
        <v/>
      </c>
      <c r="U26" s="3" t="str">
        <f t="shared" si="7"/>
        <v/>
      </c>
      <c r="V26" s="3" t="str">
        <f t="shared" si="8"/>
        <v/>
      </c>
      <c r="W26" s="3" t="str">
        <f t="shared" ca="1" si="9"/>
        <v/>
      </c>
      <c r="X26" s="3" t="str">
        <f t="shared" ca="1" si="10"/>
        <v/>
      </c>
      <c r="Y26" s="2"/>
    </row>
    <row r="27" spans="1:25">
      <c r="A27" s="3" t="str">
        <f t="shared" si="0"/>
        <v/>
      </c>
      <c r="B27" s="3" t="str">
        <f t="shared" si="1"/>
        <v/>
      </c>
      <c r="C27" s="2"/>
      <c r="D27" s="2"/>
      <c r="E27" s="2"/>
      <c r="F27" s="2"/>
      <c r="G27" s="2"/>
      <c r="H27" s="2"/>
      <c r="I27" s="2"/>
      <c r="J27" s="2"/>
      <c r="K27" s="2"/>
      <c r="L27" s="3" t="str">
        <f>IF(B27&lt;&gt;"Closed","",IF(K27&gt;=M27,"Target",IF(K27&lt;=N27,"Stop",IF(R27&gt;=Settings!$B$4,"Time","Manual"))))</f>
        <v/>
      </c>
      <c r="M27" s="3" t="str">
        <f>IF(F27="","",F27*(1+Settings!$B$2))</f>
        <v/>
      </c>
      <c r="N27" s="3" t="str">
        <f>IF(F27="","",F27*(1-Settings!$B$3))</f>
        <v/>
      </c>
      <c r="O27" s="3" t="str">
        <f>IF(E27="","",E27+Settings!$B$4)</f>
        <v/>
      </c>
      <c r="P27" s="3" t="str">
        <f t="shared" si="2"/>
        <v/>
      </c>
      <c r="Q27" s="3" t="str">
        <f t="shared" si="3"/>
        <v/>
      </c>
      <c r="R27" s="3" t="str">
        <f t="shared" ca="1" si="4"/>
        <v/>
      </c>
      <c r="S27" s="3" t="str">
        <f t="shared" ca="1" si="5"/>
        <v/>
      </c>
      <c r="T27" s="3" t="str">
        <f t="shared" si="6"/>
        <v/>
      </c>
      <c r="U27" s="3" t="str">
        <f t="shared" si="7"/>
        <v/>
      </c>
      <c r="V27" s="3" t="str">
        <f t="shared" si="8"/>
        <v/>
      </c>
      <c r="W27" s="3" t="str">
        <f t="shared" ca="1" si="9"/>
        <v/>
      </c>
      <c r="X27" s="3" t="str">
        <f t="shared" ca="1" si="10"/>
        <v/>
      </c>
      <c r="Y27" s="2"/>
    </row>
    <row r="28" spans="1:25">
      <c r="A28" s="3" t="str">
        <f t="shared" si="0"/>
        <v/>
      </c>
      <c r="B28" s="3" t="str">
        <f t="shared" si="1"/>
        <v/>
      </c>
      <c r="C28" s="2"/>
      <c r="D28" s="2"/>
      <c r="E28" s="2"/>
      <c r="F28" s="2"/>
      <c r="G28" s="2"/>
      <c r="H28" s="2"/>
      <c r="I28" s="2"/>
      <c r="J28" s="2"/>
      <c r="K28" s="2"/>
      <c r="L28" s="3" t="str">
        <f>IF(B28&lt;&gt;"Closed","",IF(K28&gt;=M28,"Target",IF(K28&lt;=N28,"Stop",IF(R28&gt;=Settings!$B$4,"Time","Manual"))))</f>
        <v/>
      </c>
      <c r="M28" s="3" t="str">
        <f>IF(F28="","",F28*(1+Settings!$B$2))</f>
        <v/>
      </c>
      <c r="N28" s="3" t="str">
        <f>IF(F28="","",F28*(1-Settings!$B$3))</f>
        <v/>
      </c>
      <c r="O28" s="3" t="str">
        <f>IF(E28="","",E28+Settings!$B$4)</f>
        <v/>
      </c>
      <c r="P28" s="3" t="str">
        <f t="shared" si="2"/>
        <v/>
      </c>
      <c r="Q28" s="3" t="str">
        <f t="shared" si="3"/>
        <v/>
      </c>
      <c r="R28" s="3" t="str">
        <f t="shared" ca="1" si="4"/>
        <v/>
      </c>
      <c r="S28" s="3" t="str">
        <f t="shared" ca="1" si="5"/>
        <v/>
      </c>
      <c r="T28" s="3" t="str">
        <f t="shared" si="6"/>
        <v/>
      </c>
      <c r="U28" s="3" t="str">
        <f t="shared" si="7"/>
        <v/>
      </c>
      <c r="V28" s="3" t="str">
        <f t="shared" si="8"/>
        <v/>
      </c>
      <c r="W28" s="3" t="str">
        <f t="shared" ca="1" si="9"/>
        <v/>
      </c>
      <c r="X28" s="3" t="str">
        <f t="shared" ca="1" si="10"/>
        <v/>
      </c>
      <c r="Y28" s="2"/>
    </row>
    <row r="29" spans="1:25">
      <c r="A29" s="3" t="str">
        <f t="shared" si="0"/>
        <v/>
      </c>
      <c r="B29" s="3" t="str">
        <f t="shared" si="1"/>
        <v/>
      </c>
      <c r="C29" s="2"/>
      <c r="D29" s="2"/>
      <c r="E29" s="2"/>
      <c r="F29" s="2"/>
      <c r="G29" s="2"/>
      <c r="H29" s="2"/>
      <c r="I29" s="2"/>
      <c r="J29" s="2"/>
      <c r="K29" s="2"/>
      <c r="L29" s="3" t="str">
        <f>IF(B29&lt;&gt;"Closed","",IF(K29&gt;=M29,"Target",IF(K29&lt;=N29,"Stop",IF(R29&gt;=Settings!$B$4,"Time","Manual"))))</f>
        <v/>
      </c>
      <c r="M29" s="3" t="str">
        <f>IF(F29="","",F29*(1+Settings!$B$2))</f>
        <v/>
      </c>
      <c r="N29" s="3" t="str">
        <f>IF(F29="","",F29*(1-Settings!$B$3))</f>
        <v/>
      </c>
      <c r="O29" s="3" t="str">
        <f>IF(E29="","",E29+Settings!$B$4)</f>
        <v/>
      </c>
      <c r="P29" s="3" t="str">
        <f t="shared" si="2"/>
        <v/>
      </c>
      <c r="Q29" s="3" t="str">
        <f t="shared" si="3"/>
        <v/>
      </c>
      <c r="R29" s="3" t="str">
        <f t="shared" ca="1" si="4"/>
        <v/>
      </c>
      <c r="S29" s="3" t="str">
        <f t="shared" ca="1" si="5"/>
        <v/>
      </c>
      <c r="T29" s="3" t="str">
        <f t="shared" si="6"/>
        <v/>
      </c>
      <c r="U29" s="3" t="str">
        <f t="shared" si="7"/>
        <v/>
      </c>
      <c r="V29" s="3" t="str">
        <f t="shared" si="8"/>
        <v/>
      </c>
      <c r="W29" s="3" t="str">
        <f t="shared" ca="1" si="9"/>
        <v/>
      </c>
      <c r="X29" s="3" t="str">
        <f t="shared" ca="1" si="10"/>
        <v/>
      </c>
      <c r="Y29" s="2"/>
    </row>
    <row r="30" spans="1:25">
      <c r="A30" s="3" t="str">
        <f t="shared" si="0"/>
        <v/>
      </c>
      <c r="B30" s="3" t="str">
        <f t="shared" si="1"/>
        <v/>
      </c>
      <c r="C30" s="2"/>
      <c r="D30" s="2"/>
      <c r="E30" s="2"/>
      <c r="F30" s="2"/>
      <c r="G30" s="2"/>
      <c r="H30" s="2"/>
      <c r="I30" s="2"/>
      <c r="J30" s="2"/>
      <c r="K30" s="2"/>
      <c r="L30" s="3" t="str">
        <f>IF(B30&lt;&gt;"Closed","",IF(K30&gt;=M30,"Target",IF(K30&lt;=N30,"Stop",IF(R30&gt;=Settings!$B$4,"Time","Manual"))))</f>
        <v/>
      </c>
      <c r="M30" s="3" t="str">
        <f>IF(F30="","",F30*(1+Settings!$B$2))</f>
        <v/>
      </c>
      <c r="N30" s="3" t="str">
        <f>IF(F30="","",F30*(1-Settings!$B$3))</f>
        <v/>
      </c>
      <c r="O30" s="3" t="str">
        <f>IF(E30="","",E30+Settings!$B$4)</f>
        <v/>
      </c>
      <c r="P30" s="3" t="str">
        <f t="shared" si="2"/>
        <v/>
      </c>
      <c r="Q30" s="3" t="str">
        <f t="shared" si="3"/>
        <v/>
      </c>
      <c r="R30" s="3" t="str">
        <f t="shared" ca="1" si="4"/>
        <v/>
      </c>
      <c r="S30" s="3" t="str">
        <f t="shared" ca="1" si="5"/>
        <v/>
      </c>
      <c r="T30" s="3" t="str">
        <f t="shared" si="6"/>
        <v/>
      </c>
      <c r="U30" s="3" t="str">
        <f t="shared" si="7"/>
        <v/>
      </c>
      <c r="V30" s="3" t="str">
        <f t="shared" si="8"/>
        <v/>
      </c>
      <c r="W30" s="3" t="str">
        <f t="shared" ca="1" si="9"/>
        <v/>
      </c>
      <c r="X30" s="3" t="str">
        <f t="shared" ca="1" si="10"/>
        <v/>
      </c>
      <c r="Y30" s="2"/>
    </row>
    <row r="31" spans="1:25">
      <c r="A31" s="3" t="str">
        <f t="shared" si="0"/>
        <v/>
      </c>
      <c r="B31" s="3" t="str">
        <f t="shared" si="1"/>
        <v/>
      </c>
      <c r="C31" s="2"/>
      <c r="D31" s="2"/>
      <c r="E31" s="2"/>
      <c r="F31" s="2"/>
      <c r="G31" s="2"/>
      <c r="H31" s="2"/>
      <c r="I31" s="2"/>
      <c r="J31" s="2"/>
      <c r="K31" s="2"/>
      <c r="L31" s="3" t="str">
        <f>IF(B31&lt;&gt;"Closed","",IF(K31&gt;=M31,"Target",IF(K31&lt;=N31,"Stop",IF(R31&gt;=Settings!$B$4,"Time","Manual"))))</f>
        <v/>
      </c>
      <c r="M31" s="3" t="str">
        <f>IF(F31="","",F31*(1+Settings!$B$2))</f>
        <v/>
      </c>
      <c r="N31" s="3" t="str">
        <f>IF(F31="","",F31*(1-Settings!$B$3))</f>
        <v/>
      </c>
      <c r="O31" s="3" t="str">
        <f>IF(E31="","",E31+Settings!$B$4)</f>
        <v/>
      </c>
      <c r="P31" s="3" t="str">
        <f t="shared" si="2"/>
        <v/>
      </c>
      <c r="Q31" s="3" t="str">
        <f t="shared" si="3"/>
        <v/>
      </c>
      <c r="R31" s="3" t="str">
        <f t="shared" ca="1" si="4"/>
        <v/>
      </c>
      <c r="S31" s="3" t="str">
        <f t="shared" ca="1" si="5"/>
        <v/>
      </c>
      <c r="T31" s="3" t="str">
        <f t="shared" si="6"/>
        <v/>
      </c>
      <c r="U31" s="3" t="str">
        <f t="shared" si="7"/>
        <v/>
      </c>
      <c r="V31" s="3" t="str">
        <f t="shared" si="8"/>
        <v/>
      </c>
      <c r="W31" s="3" t="str">
        <f t="shared" ca="1" si="9"/>
        <v/>
      </c>
      <c r="X31" s="3" t="str">
        <f t="shared" ca="1" si="10"/>
        <v/>
      </c>
      <c r="Y31" s="2"/>
    </row>
    <row r="32" spans="1:25">
      <c r="A32" s="3" t="str">
        <f t="shared" si="0"/>
        <v/>
      </c>
      <c r="B32" s="3" t="str">
        <f t="shared" si="1"/>
        <v/>
      </c>
      <c r="C32" s="2"/>
      <c r="D32" s="2"/>
      <c r="E32" s="2"/>
      <c r="F32" s="2"/>
      <c r="G32" s="2"/>
      <c r="H32" s="2"/>
      <c r="I32" s="2"/>
      <c r="J32" s="2"/>
      <c r="K32" s="2"/>
      <c r="L32" s="3" t="str">
        <f>IF(B32&lt;&gt;"Closed","",IF(K32&gt;=M32,"Target",IF(K32&lt;=N32,"Stop",IF(R32&gt;=Settings!$B$4,"Time","Manual"))))</f>
        <v/>
      </c>
      <c r="M32" s="3" t="str">
        <f>IF(F32="","",F32*(1+Settings!$B$2))</f>
        <v/>
      </c>
      <c r="N32" s="3" t="str">
        <f>IF(F32="","",F32*(1-Settings!$B$3))</f>
        <v/>
      </c>
      <c r="O32" s="3" t="str">
        <f>IF(E32="","",E32+Settings!$B$4)</f>
        <v/>
      </c>
      <c r="P32" s="3" t="str">
        <f t="shared" si="2"/>
        <v/>
      </c>
      <c r="Q32" s="3" t="str">
        <f t="shared" si="3"/>
        <v/>
      </c>
      <c r="R32" s="3" t="str">
        <f t="shared" ca="1" si="4"/>
        <v/>
      </c>
      <c r="S32" s="3" t="str">
        <f t="shared" ca="1" si="5"/>
        <v/>
      </c>
      <c r="T32" s="3" t="str">
        <f t="shared" si="6"/>
        <v/>
      </c>
      <c r="U32" s="3" t="str">
        <f t="shared" si="7"/>
        <v/>
      </c>
      <c r="V32" s="3" t="str">
        <f t="shared" si="8"/>
        <v/>
      </c>
      <c r="W32" s="3" t="str">
        <f t="shared" ca="1" si="9"/>
        <v/>
      </c>
      <c r="X32" s="3" t="str">
        <f t="shared" ca="1" si="10"/>
        <v/>
      </c>
      <c r="Y32" s="2"/>
    </row>
    <row r="33" spans="1:25">
      <c r="A33" s="3" t="str">
        <f t="shared" si="0"/>
        <v/>
      </c>
      <c r="B33" s="3" t="str">
        <f t="shared" si="1"/>
        <v/>
      </c>
      <c r="C33" s="2"/>
      <c r="D33" s="2"/>
      <c r="E33" s="2"/>
      <c r="F33" s="2"/>
      <c r="G33" s="2"/>
      <c r="H33" s="2"/>
      <c r="I33" s="2"/>
      <c r="J33" s="2"/>
      <c r="K33" s="2"/>
      <c r="L33" s="3" t="str">
        <f>IF(B33&lt;&gt;"Closed","",IF(K33&gt;=M33,"Target",IF(K33&lt;=N33,"Stop",IF(R33&gt;=Settings!$B$4,"Time","Manual"))))</f>
        <v/>
      </c>
      <c r="M33" s="3" t="str">
        <f>IF(F33="","",F33*(1+Settings!$B$2))</f>
        <v/>
      </c>
      <c r="N33" s="3" t="str">
        <f>IF(F33="","",F33*(1-Settings!$B$3))</f>
        <v/>
      </c>
      <c r="O33" s="3" t="str">
        <f>IF(E33="","",E33+Settings!$B$4)</f>
        <v/>
      </c>
      <c r="P33" s="3" t="str">
        <f t="shared" si="2"/>
        <v/>
      </c>
      <c r="Q33" s="3" t="str">
        <f t="shared" si="3"/>
        <v/>
      </c>
      <c r="R33" s="3" t="str">
        <f t="shared" ca="1" si="4"/>
        <v/>
      </c>
      <c r="S33" s="3" t="str">
        <f t="shared" ca="1" si="5"/>
        <v/>
      </c>
      <c r="T33" s="3" t="str">
        <f t="shared" si="6"/>
        <v/>
      </c>
      <c r="U33" s="3" t="str">
        <f t="shared" si="7"/>
        <v/>
      </c>
      <c r="V33" s="3" t="str">
        <f t="shared" si="8"/>
        <v/>
      </c>
      <c r="W33" s="3" t="str">
        <f t="shared" ca="1" si="9"/>
        <v/>
      </c>
      <c r="X33" s="3" t="str">
        <f t="shared" ca="1" si="10"/>
        <v/>
      </c>
      <c r="Y33" s="2"/>
    </row>
    <row r="34" spans="1:25">
      <c r="A34" s="3" t="str">
        <f t="shared" si="0"/>
        <v/>
      </c>
      <c r="B34" s="3" t="str">
        <f t="shared" si="1"/>
        <v/>
      </c>
      <c r="C34" s="2"/>
      <c r="D34" s="2"/>
      <c r="E34" s="2"/>
      <c r="F34" s="2"/>
      <c r="G34" s="2"/>
      <c r="H34" s="2"/>
      <c r="I34" s="2"/>
      <c r="J34" s="2"/>
      <c r="K34" s="2"/>
      <c r="L34" s="3" t="str">
        <f>IF(B34&lt;&gt;"Closed","",IF(K34&gt;=M34,"Target",IF(K34&lt;=N34,"Stop",IF(R34&gt;=Settings!$B$4,"Time","Manual"))))</f>
        <v/>
      </c>
      <c r="M34" s="3" t="str">
        <f>IF(F34="","",F34*(1+Settings!$B$2))</f>
        <v/>
      </c>
      <c r="N34" s="3" t="str">
        <f>IF(F34="","",F34*(1-Settings!$B$3))</f>
        <v/>
      </c>
      <c r="O34" s="3" t="str">
        <f>IF(E34="","",E34+Settings!$B$4)</f>
        <v/>
      </c>
      <c r="P34" s="3" t="str">
        <f t="shared" si="2"/>
        <v/>
      </c>
      <c r="Q34" s="3" t="str">
        <f t="shared" si="3"/>
        <v/>
      </c>
      <c r="R34" s="3" t="str">
        <f t="shared" ca="1" si="4"/>
        <v/>
      </c>
      <c r="S34" s="3" t="str">
        <f t="shared" ca="1" si="5"/>
        <v/>
      </c>
      <c r="T34" s="3" t="str">
        <f t="shared" si="6"/>
        <v/>
      </c>
      <c r="U34" s="3" t="str">
        <f t="shared" si="7"/>
        <v/>
      </c>
      <c r="V34" s="3" t="str">
        <f t="shared" si="8"/>
        <v/>
      </c>
      <c r="W34" s="3" t="str">
        <f t="shared" ca="1" si="9"/>
        <v/>
      </c>
      <c r="X34" s="3" t="str">
        <f t="shared" ca="1" si="10"/>
        <v/>
      </c>
      <c r="Y34" s="2"/>
    </row>
    <row r="35" spans="1:25">
      <c r="A35" s="3" t="str">
        <f t="shared" si="0"/>
        <v/>
      </c>
      <c r="B35" s="3" t="str">
        <f t="shared" si="1"/>
        <v/>
      </c>
      <c r="C35" s="2"/>
      <c r="D35" s="2"/>
      <c r="E35" s="2"/>
      <c r="F35" s="2"/>
      <c r="G35" s="2"/>
      <c r="H35" s="2"/>
      <c r="I35" s="2"/>
      <c r="J35" s="2"/>
      <c r="K35" s="2"/>
      <c r="L35" s="3" t="str">
        <f>IF(B35&lt;&gt;"Closed","",IF(K35&gt;=M35,"Target",IF(K35&lt;=N35,"Stop",IF(R35&gt;=Settings!$B$4,"Time","Manual"))))</f>
        <v/>
      </c>
      <c r="M35" s="3" t="str">
        <f>IF(F35="","",F35*(1+Settings!$B$2))</f>
        <v/>
      </c>
      <c r="N35" s="3" t="str">
        <f>IF(F35="","",F35*(1-Settings!$B$3))</f>
        <v/>
      </c>
      <c r="O35" s="3" t="str">
        <f>IF(E35="","",E35+Settings!$B$4)</f>
        <v/>
      </c>
      <c r="P35" s="3" t="str">
        <f t="shared" si="2"/>
        <v/>
      </c>
      <c r="Q35" s="3" t="str">
        <f t="shared" si="3"/>
        <v/>
      </c>
      <c r="R35" s="3" t="str">
        <f t="shared" ca="1" si="4"/>
        <v/>
      </c>
      <c r="S35" s="3" t="str">
        <f t="shared" ca="1" si="5"/>
        <v/>
      </c>
      <c r="T35" s="3" t="str">
        <f t="shared" si="6"/>
        <v/>
      </c>
      <c r="U35" s="3" t="str">
        <f t="shared" si="7"/>
        <v/>
      </c>
      <c r="V35" s="3" t="str">
        <f t="shared" si="8"/>
        <v/>
      </c>
      <c r="W35" s="3" t="str">
        <f t="shared" ca="1" si="9"/>
        <v/>
      </c>
      <c r="X35" s="3" t="str">
        <f t="shared" ca="1" si="10"/>
        <v/>
      </c>
      <c r="Y35" s="2"/>
    </row>
    <row r="36" spans="1:25">
      <c r="A36" s="3" t="str">
        <f t="shared" si="0"/>
        <v/>
      </c>
      <c r="B36" s="3" t="str">
        <f t="shared" si="1"/>
        <v/>
      </c>
      <c r="C36" s="2"/>
      <c r="D36" s="2"/>
      <c r="E36" s="2"/>
      <c r="F36" s="2"/>
      <c r="G36" s="2"/>
      <c r="H36" s="2"/>
      <c r="I36" s="2"/>
      <c r="J36" s="2"/>
      <c r="K36" s="2"/>
      <c r="L36" s="3" t="str">
        <f>IF(B36&lt;&gt;"Closed","",IF(K36&gt;=M36,"Target",IF(K36&lt;=N36,"Stop",IF(R36&gt;=Settings!$B$4,"Time","Manual"))))</f>
        <v/>
      </c>
      <c r="M36" s="3" t="str">
        <f>IF(F36="","",F36*(1+Settings!$B$2))</f>
        <v/>
      </c>
      <c r="N36" s="3" t="str">
        <f>IF(F36="","",F36*(1-Settings!$B$3))</f>
        <v/>
      </c>
      <c r="O36" s="3" t="str">
        <f>IF(E36="","",E36+Settings!$B$4)</f>
        <v/>
      </c>
      <c r="P36" s="3" t="str">
        <f t="shared" si="2"/>
        <v/>
      </c>
      <c r="Q36" s="3" t="str">
        <f t="shared" si="3"/>
        <v/>
      </c>
      <c r="R36" s="3" t="str">
        <f t="shared" ca="1" si="4"/>
        <v/>
      </c>
      <c r="S36" s="3" t="str">
        <f t="shared" ca="1" si="5"/>
        <v/>
      </c>
      <c r="T36" s="3" t="str">
        <f t="shared" si="6"/>
        <v/>
      </c>
      <c r="U36" s="3" t="str">
        <f t="shared" si="7"/>
        <v/>
      </c>
      <c r="V36" s="3" t="str">
        <f t="shared" si="8"/>
        <v/>
      </c>
      <c r="W36" s="3" t="str">
        <f t="shared" ca="1" si="9"/>
        <v/>
      </c>
      <c r="X36" s="3" t="str">
        <f t="shared" ca="1" si="10"/>
        <v/>
      </c>
      <c r="Y36" s="2"/>
    </row>
    <row r="37" spans="1:25">
      <c r="A37" s="3" t="str">
        <f t="shared" si="0"/>
        <v/>
      </c>
      <c r="B37" s="3" t="str">
        <f t="shared" si="1"/>
        <v/>
      </c>
      <c r="C37" s="2"/>
      <c r="D37" s="2"/>
      <c r="E37" s="2"/>
      <c r="F37" s="2"/>
      <c r="G37" s="2"/>
      <c r="H37" s="2"/>
      <c r="I37" s="2"/>
      <c r="J37" s="2"/>
      <c r="K37" s="2"/>
      <c r="L37" s="3" t="str">
        <f>IF(B37&lt;&gt;"Closed","",IF(K37&gt;=M37,"Target",IF(K37&lt;=N37,"Stop",IF(R37&gt;=Settings!$B$4,"Time","Manual"))))</f>
        <v/>
      </c>
      <c r="M37" s="3" t="str">
        <f>IF(F37="","",F37*(1+Settings!$B$2))</f>
        <v/>
      </c>
      <c r="N37" s="3" t="str">
        <f>IF(F37="","",F37*(1-Settings!$B$3))</f>
        <v/>
      </c>
      <c r="O37" s="3" t="str">
        <f>IF(E37="","",E37+Settings!$B$4)</f>
        <v/>
      </c>
      <c r="P37" s="3" t="str">
        <f t="shared" si="2"/>
        <v/>
      </c>
      <c r="Q37" s="3" t="str">
        <f t="shared" si="3"/>
        <v/>
      </c>
      <c r="R37" s="3" t="str">
        <f t="shared" ca="1" si="4"/>
        <v/>
      </c>
      <c r="S37" s="3" t="str">
        <f t="shared" ca="1" si="5"/>
        <v/>
      </c>
      <c r="T37" s="3" t="str">
        <f t="shared" si="6"/>
        <v/>
      </c>
      <c r="U37" s="3" t="str">
        <f t="shared" si="7"/>
        <v/>
      </c>
      <c r="V37" s="3" t="str">
        <f t="shared" si="8"/>
        <v/>
      </c>
      <c r="W37" s="3" t="str">
        <f t="shared" ca="1" si="9"/>
        <v/>
      </c>
      <c r="X37" s="3" t="str">
        <f t="shared" ca="1" si="10"/>
        <v/>
      </c>
      <c r="Y37" s="2"/>
    </row>
    <row r="38" spans="1:25">
      <c r="A38" s="3" t="str">
        <f t="shared" si="0"/>
        <v/>
      </c>
      <c r="B38" s="3" t="str">
        <f t="shared" si="1"/>
        <v/>
      </c>
      <c r="C38" s="2"/>
      <c r="D38" s="2"/>
      <c r="E38" s="2"/>
      <c r="F38" s="2"/>
      <c r="G38" s="2"/>
      <c r="H38" s="2"/>
      <c r="I38" s="2"/>
      <c r="J38" s="2"/>
      <c r="K38" s="2"/>
      <c r="L38" s="3" t="str">
        <f>IF(B38&lt;&gt;"Closed","",IF(K38&gt;=M38,"Target",IF(K38&lt;=N38,"Stop",IF(R38&gt;=Settings!$B$4,"Time","Manual"))))</f>
        <v/>
      </c>
      <c r="M38" s="3" t="str">
        <f>IF(F38="","",F38*(1+Settings!$B$2))</f>
        <v/>
      </c>
      <c r="N38" s="3" t="str">
        <f>IF(F38="","",F38*(1-Settings!$B$3))</f>
        <v/>
      </c>
      <c r="O38" s="3" t="str">
        <f>IF(E38="","",E38+Settings!$B$4)</f>
        <v/>
      </c>
      <c r="P38" s="3" t="str">
        <f t="shared" si="2"/>
        <v/>
      </c>
      <c r="Q38" s="3" t="str">
        <f t="shared" si="3"/>
        <v/>
      </c>
      <c r="R38" s="3" t="str">
        <f t="shared" ca="1" si="4"/>
        <v/>
      </c>
      <c r="S38" s="3" t="str">
        <f t="shared" ca="1" si="5"/>
        <v/>
      </c>
      <c r="T38" s="3" t="str">
        <f t="shared" si="6"/>
        <v/>
      </c>
      <c r="U38" s="3" t="str">
        <f t="shared" si="7"/>
        <v/>
      </c>
      <c r="V38" s="3" t="str">
        <f t="shared" si="8"/>
        <v/>
      </c>
      <c r="W38" s="3" t="str">
        <f t="shared" ca="1" si="9"/>
        <v/>
      </c>
      <c r="X38" s="3" t="str">
        <f t="shared" ca="1" si="10"/>
        <v/>
      </c>
      <c r="Y38" s="2"/>
    </row>
    <row r="39" spans="1:25">
      <c r="A39" s="3" t="str">
        <f t="shared" si="0"/>
        <v/>
      </c>
      <c r="B39" s="3" t="str">
        <f t="shared" si="1"/>
        <v/>
      </c>
      <c r="C39" s="2"/>
      <c r="D39" s="2"/>
      <c r="E39" s="2"/>
      <c r="F39" s="2"/>
      <c r="G39" s="2"/>
      <c r="H39" s="2"/>
      <c r="I39" s="2"/>
      <c r="J39" s="2"/>
      <c r="K39" s="2"/>
      <c r="L39" s="3" t="str">
        <f>IF(B39&lt;&gt;"Closed","",IF(K39&gt;=M39,"Target",IF(K39&lt;=N39,"Stop",IF(R39&gt;=Settings!$B$4,"Time","Manual"))))</f>
        <v/>
      </c>
      <c r="M39" s="3" t="str">
        <f>IF(F39="","",F39*(1+Settings!$B$2))</f>
        <v/>
      </c>
      <c r="N39" s="3" t="str">
        <f>IF(F39="","",F39*(1-Settings!$B$3))</f>
        <v/>
      </c>
      <c r="O39" s="3" t="str">
        <f>IF(E39="","",E39+Settings!$B$4)</f>
        <v/>
      </c>
      <c r="P39" s="3" t="str">
        <f t="shared" si="2"/>
        <v/>
      </c>
      <c r="Q39" s="3" t="str">
        <f t="shared" si="3"/>
        <v/>
      </c>
      <c r="R39" s="3" t="str">
        <f t="shared" ca="1" si="4"/>
        <v/>
      </c>
      <c r="S39" s="3" t="str">
        <f t="shared" ca="1" si="5"/>
        <v/>
      </c>
      <c r="T39" s="3" t="str">
        <f t="shared" si="6"/>
        <v/>
      </c>
      <c r="U39" s="3" t="str">
        <f t="shared" si="7"/>
        <v/>
      </c>
      <c r="V39" s="3" t="str">
        <f t="shared" si="8"/>
        <v/>
      </c>
      <c r="W39" s="3" t="str">
        <f t="shared" ca="1" si="9"/>
        <v/>
      </c>
      <c r="X39" s="3" t="str">
        <f t="shared" ca="1" si="10"/>
        <v/>
      </c>
      <c r="Y39" s="2"/>
    </row>
    <row r="40" spans="1:25">
      <c r="A40" s="3" t="str">
        <f t="shared" si="0"/>
        <v/>
      </c>
      <c r="B40" s="3" t="str">
        <f t="shared" si="1"/>
        <v/>
      </c>
      <c r="C40" s="2"/>
      <c r="D40" s="2"/>
      <c r="E40" s="2"/>
      <c r="F40" s="2"/>
      <c r="G40" s="2"/>
      <c r="H40" s="2"/>
      <c r="I40" s="2"/>
      <c r="J40" s="2"/>
      <c r="K40" s="2"/>
      <c r="L40" s="3" t="str">
        <f>IF(B40&lt;&gt;"Closed","",IF(K40&gt;=M40,"Target",IF(K40&lt;=N40,"Stop",IF(R40&gt;=Settings!$B$4,"Time","Manual"))))</f>
        <v/>
      </c>
      <c r="M40" s="3" t="str">
        <f>IF(F40="","",F40*(1+Settings!$B$2))</f>
        <v/>
      </c>
      <c r="N40" s="3" t="str">
        <f>IF(F40="","",F40*(1-Settings!$B$3))</f>
        <v/>
      </c>
      <c r="O40" s="3" t="str">
        <f>IF(E40="","",E40+Settings!$B$4)</f>
        <v/>
      </c>
      <c r="P40" s="3" t="str">
        <f t="shared" si="2"/>
        <v/>
      </c>
      <c r="Q40" s="3" t="str">
        <f t="shared" si="3"/>
        <v/>
      </c>
      <c r="R40" s="3" t="str">
        <f t="shared" ca="1" si="4"/>
        <v/>
      </c>
      <c r="S40" s="3" t="str">
        <f t="shared" ca="1" si="5"/>
        <v/>
      </c>
      <c r="T40" s="3" t="str">
        <f t="shared" si="6"/>
        <v/>
      </c>
      <c r="U40" s="3" t="str">
        <f t="shared" si="7"/>
        <v/>
      </c>
      <c r="V40" s="3" t="str">
        <f t="shared" si="8"/>
        <v/>
      </c>
      <c r="W40" s="3" t="str">
        <f t="shared" ca="1" si="9"/>
        <v/>
      </c>
      <c r="X40" s="3" t="str">
        <f t="shared" ca="1" si="10"/>
        <v/>
      </c>
      <c r="Y40" s="2"/>
    </row>
    <row r="41" spans="1:25">
      <c r="A41" s="3" t="str">
        <f t="shared" si="0"/>
        <v/>
      </c>
      <c r="B41" s="3" t="str">
        <f t="shared" si="1"/>
        <v/>
      </c>
      <c r="C41" s="2"/>
      <c r="D41" s="2"/>
      <c r="E41" s="2"/>
      <c r="F41" s="2"/>
      <c r="G41" s="2"/>
      <c r="H41" s="2"/>
      <c r="I41" s="2"/>
      <c r="J41" s="2"/>
      <c r="K41" s="2"/>
      <c r="L41" s="3" t="str">
        <f>IF(B41&lt;&gt;"Closed","",IF(K41&gt;=M41,"Target",IF(K41&lt;=N41,"Stop",IF(R41&gt;=Settings!$B$4,"Time","Manual"))))</f>
        <v/>
      </c>
      <c r="M41" s="3" t="str">
        <f>IF(F41="","",F41*(1+Settings!$B$2))</f>
        <v/>
      </c>
      <c r="N41" s="3" t="str">
        <f>IF(F41="","",F41*(1-Settings!$B$3))</f>
        <v/>
      </c>
      <c r="O41" s="3" t="str">
        <f>IF(E41="","",E41+Settings!$B$4)</f>
        <v/>
      </c>
      <c r="P41" s="3" t="str">
        <f t="shared" si="2"/>
        <v/>
      </c>
      <c r="Q41" s="3" t="str">
        <f t="shared" si="3"/>
        <v/>
      </c>
      <c r="R41" s="3" t="str">
        <f t="shared" ca="1" si="4"/>
        <v/>
      </c>
      <c r="S41" s="3" t="str">
        <f t="shared" ca="1" si="5"/>
        <v/>
      </c>
      <c r="T41" s="3" t="str">
        <f t="shared" si="6"/>
        <v/>
      </c>
      <c r="U41" s="3" t="str">
        <f t="shared" si="7"/>
        <v/>
      </c>
      <c r="V41" s="3" t="str">
        <f t="shared" si="8"/>
        <v/>
      </c>
      <c r="W41" s="3" t="str">
        <f t="shared" ca="1" si="9"/>
        <v/>
      </c>
      <c r="X41" s="3" t="str">
        <f t="shared" ca="1" si="10"/>
        <v/>
      </c>
      <c r="Y41" s="2"/>
    </row>
    <row r="42" spans="1:25">
      <c r="A42" s="3" t="str">
        <f t="shared" si="0"/>
        <v/>
      </c>
      <c r="B42" s="3" t="str">
        <f t="shared" si="1"/>
        <v/>
      </c>
      <c r="C42" s="2"/>
      <c r="D42" s="2"/>
      <c r="E42" s="2"/>
      <c r="F42" s="2"/>
      <c r="G42" s="2"/>
      <c r="H42" s="2"/>
      <c r="I42" s="2"/>
      <c r="J42" s="2"/>
      <c r="K42" s="2"/>
      <c r="L42" s="3" t="str">
        <f>IF(B42&lt;&gt;"Closed","",IF(K42&gt;=M42,"Target",IF(K42&lt;=N42,"Stop",IF(R42&gt;=Settings!$B$4,"Time","Manual"))))</f>
        <v/>
      </c>
      <c r="M42" s="3" t="str">
        <f>IF(F42="","",F42*(1+Settings!$B$2))</f>
        <v/>
      </c>
      <c r="N42" s="3" t="str">
        <f>IF(F42="","",F42*(1-Settings!$B$3))</f>
        <v/>
      </c>
      <c r="O42" s="3" t="str">
        <f>IF(E42="","",E42+Settings!$B$4)</f>
        <v/>
      </c>
      <c r="P42" s="3" t="str">
        <f t="shared" si="2"/>
        <v/>
      </c>
      <c r="Q42" s="3" t="str">
        <f t="shared" si="3"/>
        <v/>
      </c>
      <c r="R42" s="3" t="str">
        <f t="shared" ca="1" si="4"/>
        <v/>
      </c>
      <c r="S42" s="3" t="str">
        <f t="shared" ca="1" si="5"/>
        <v/>
      </c>
      <c r="T42" s="3" t="str">
        <f t="shared" si="6"/>
        <v/>
      </c>
      <c r="U42" s="3" t="str">
        <f t="shared" si="7"/>
        <v/>
      </c>
      <c r="V42" s="3" t="str">
        <f t="shared" si="8"/>
        <v/>
      </c>
      <c r="W42" s="3" t="str">
        <f t="shared" ca="1" si="9"/>
        <v/>
      </c>
      <c r="X42" s="3" t="str">
        <f t="shared" ca="1" si="10"/>
        <v/>
      </c>
      <c r="Y42" s="2"/>
    </row>
    <row r="43" spans="1:25">
      <c r="A43" s="3" t="str">
        <f t="shared" si="0"/>
        <v/>
      </c>
      <c r="B43" s="3" t="str">
        <f t="shared" si="1"/>
        <v/>
      </c>
      <c r="C43" s="2"/>
      <c r="D43" s="2"/>
      <c r="E43" s="2"/>
      <c r="F43" s="2"/>
      <c r="G43" s="2"/>
      <c r="H43" s="2"/>
      <c r="I43" s="2"/>
      <c r="J43" s="2"/>
      <c r="K43" s="2"/>
      <c r="L43" s="3" t="str">
        <f>IF(B43&lt;&gt;"Closed","",IF(K43&gt;=M43,"Target",IF(K43&lt;=N43,"Stop",IF(R43&gt;=Settings!$B$4,"Time","Manual"))))</f>
        <v/>
      </c>
      <c r="M43" s="3" t="str">
        <f>IF(F43="","",F43*(1+Settings!$B$2))</f>
        <v/>
      </c>
      <c r="N43" s="3" t="str">
        <f>IF(F43="","",F43*(1-Settings!$B$3))</f>
        <v/>
      </c>
      <c r="O43" s="3" t="str">
        <f>IF(E43="","",E43+Settings!$B$4)</f>
        <v/>
      </c>
      <c r="P43" s="3" t="str">
        <f t="shared" si="2"/>
        <v/>
      </c>
      <c r="Q43" s="3" t="str">
        <f t="shared" si="3"/>
        <v/>
      </c>
      <c r="R43" s="3" t="str">
        <f t="shared" ca="1" si="4"/>
        <v/>
      </c>
      <c r="S43" s="3" t="str">
        <f t="shared" ca="1" si="5"/>
        <v/>
      </c>
      <c r="T43" s="3" t="str">
        <f t="shared" si="6"/>
        <v/>
      </c>
      <c r="U43" s="3" t="str">
        <f t="shared" si="7"/>
        <v/>
      </c>
      <c r="V43" s="3" t="str">
        <f t="shared" si="8"/>
        <v/>
      </c>
      <c r="W43" s="3" t="str">
        <f t="shared" ca="1" si="9"/>
        <v/>
      </c>
      <c r="X43" s="3" t="str">
        <f t="shared" ca="1" si="10"/>
        <v/>
      </c>
      <c r="Y43" s="2"/>
    </row>
    <row r="44" spans="1:25">
      <c r="A44" s="3" t="str">
        <f t="shared" si="0"/>
        <v/>
      </c>
      <c r="B44" s="3" t="str">
        <f t="shared" si="1"/>
        <v/>
      </c>
      <c r="C44" s="2"/>
      <c r="D44" s="2"/>
      <c r="E44" s="2"/>
      <c r="F44" s="2"/>
      <c r="G44" s="2"/>
      <c r="H44" s="2"/>
      <c r="I44" s="2"/>
      <c r="J44" s="2"/>
      <c r="K44" s="2"/>
      <c r="L44" s="3" t="str">
        <f>IF(B44&lt;&gt;"Closed","",IF(K44&gt;=M44,"Target",IF(K44&lt;=N44,"Stop",IF(R44&gt;=Settings!$B$4,"Time","Manual"))))</f>
        <v/>
      </c>
      <c r="M44" s="3" t="str">
        <f>IF(F44="","",F44*(1+Settings!$B$2))</f>
        <v/>
      </c>
      <c r="N44" s="3" t="str">
        <f>IF(F44="","",F44*(1-Settings!$B$3))</f>
        <v/>
      </c>
      <c r="O44" s="3" t="str">
        <f>IF(E44="","",E44+Settings!$B$4)</f>
        <v/>
      </c>
      <c r="P44" s="3" t="str">
        <f t="shared" si="2"/>
        <v/>
      </c>
      <c r="Q44" s="3" t="str">
        <f t="shared" si="3"/>
        <v/>
      </c>
      <c r="R44" s="3" t="str">
        <f t="shared" ca="1" si="4"/>
        <v/>
      </c>
      <c r="S44" s="3" t="str">
        <f t="shared" ca="1" si="5"/>
        <v/>
      </c>
      <c r="T44" s="3" t="str">
        <f t="shared" si="6"/>
        <v/>
      </c>
      <c r="U44" s="3" t="str">
        <f t="shared" si="7"/>
        <v/>
      </c>
      <c r="V44" s="3" t="str">
        <f t="shared" si="8"/>
        <v/>
      </c>
      <c r="W44" s="3" t="str">
        <f t="shared" ca="1" si="9"/>
        <v/>
      </c>
      <c r="X44" s="3" t="str">
        <f t="shared" ca="1" si="10"/>
        <v/>
      </c>
      <c r="Y44" s="2"/>
    </row>
    <row r="45" spans="1:25">
      <c r="A45" s="3" t="str">
        <f t="shared" si="0"/>
        <v/>
      </c>
      <c r="B45" s="3" t="str">
        <f t="shared" si="1"/>
        <v/>
      </c>
      <c r="C45" s="2"/>
      <c r="D45" s="2"/>
      <c r="E45" s="2"/>
      <c r="F45" s="2"/>
      <c r="G45" s="2"/>
      <c r="H45" s="2"/>
      <c r="I45" s="2"/>
      <c r="J45" s="2"/>
      <c r="K45" s="2"/>
      <c r="L45" s="3" t="str">
        <f>IF(B45&lt;&gt;"Closed","",IF(K45&gt;=M45,"Target",IF(K45&lt;=N45,"Stop",IF(R45&gt;=Settings!$B$4,"Time","Manual"))))</f>
        <v/>
      </c>
      <c r="M45" s="3" t="str">
        <f>IF(F45="","",F45*(1+Settings!$B$2))</f>
        <v/>
      </c>
      <c r="N45" s="3" t="str">
        <f>IF(F45="","",F45*(1-Settings!$B$3))</f>
        <v/>
      </c>
      <c r="O45" s="3" t="str">
        <f>IF(E45="","",E45+Settings!$B$4)</f>
        <v/>
      </c>
      <c r="P45" s="3" t="str">
        <f t="shared" si="2"/>
        <v/>
      </c>
      <c r="Q45" s="3" t="str">
        <f t="shared" si="3"/>
        <v/>
      </c>
      <c r="R45" s="3" t="str">
        <f t="shared" ca="1" si="4"/>
        <v/>
      </c>
      <c r="S45" s="3" t="str">
        <f t="shared" ca="1" si="5"/>
        <v/>
      </c>
      <c r="T45" s="3" t="str">
        <f t="shared" si="6"/>
        <v/>
      </c>
      <c r="U45" s="3" t="str">
        <f t="shared" si="7"/>
        <v/>
      </c>
      <c r="V45" s="3" t="str">
        <f t="shared" si="8"/>
        <v/>
      </c>
      <c r="W45" s="3" t="str">
        <f t="shared" ca="1" si="9"/>
        <v/>
      </c>
      <c r="X45" s="3" t="str">
        <f t="shared" ca="1" si="10"/>
        <v/>
      </c>
      <c r="Y45" s="2"/>
    </row>
    <row r="46" spans="1:25">
      <c r="A46" s="3" t="str">
        <f t="shared" si="0"/>
        <v/>
      </c>
      <c r="B46" s="3" t="str">
        <f t="shared" si="1"/>
        <v/>
      </c>
      <c r="C46" s="2"/>
      <c r="D46" s="2"/>
      <c r="E46" s="2"/>
      <c r="F46" s="2"/>
      <c r="G46" s="2"/>
      <c r="H46" s="2"/>
      <c r="I46" s="2"/>
      <c r="J46" s="2"/>
      <c r="K46" s="2"/>
      <c r="L46" s="3" t="str">
        <f>IF(B46&lt;&gt;"Closed","",IF(K46&gt;=M46,"Target",IF(K46&lt;=N46,"Stop",IF(R46&gt;=Settings!$B$4,"Time","Manual"))))</f>
        <v/>
      </c>
      <c r="M46" s="3" t="str">
        <f>IF(F46="","",F46*(1+Settings!$B$2))</f>
        <v/>
      </c>
      <c r="N46" s="3" t="str">
        <f>IF(F46="","",F46*(1-Settings!$B$3))</f>
        <v/>
      </c>
      <c r="O46" s="3" t="str">
        <f>IF(E46="","",E46+Settings!$B$4)</f>
        <v/>
      </c>
      <c r="P46" s="3" t="str">
        <f t="shared" si="2"/>
        <v/>
      </c>
      <c r="Q46" s="3" t="str">
        <f t="shared" si="3"/>
        <v/>
      </c>
      <c r="R46" s="3" t="str">
        <f t="shared" ca="1" si="4"/>
        <v/>
      </c>
      <c r="S46" s="3" t="str">
        <f t="shared" ca="1" si="5"/>
        <v/>
      </c>
      <c r="T46" s="3" t="str">
        <f t="shared" si="6"/>
        <v/>
      </c>
      <c r="U46" s="3" t="str">
        <f t="shared" si="7"/>
        <v/>
      </c>
      <c r="V46" s="3" t="str">
        <f t="shared" si="8"/>
        <v/>
      </c>
      <c r="W46" s="3" t="str">
        <f t="shared" ca="1" si="9"/>
        <v/>
      </c>
      <c r="X46" s="3" t="str">
        <f t="shared" ca="1" si="10"/>
        <v/>
      </c>
      <c r="Y46" s="2"/>
    </row>
    <row r="47" spans="1:25">
      <c r="A47" s="3" t="str">
        <f t="shared" si="0"/>
        <v/>
      </c>
      <c r="B47" s="3" t="str">
        <f t="shared" si="1"/>
        <v/>
      </c>
      <c r="C47" s="2"/>
      <c r="D47" s="2"/>
      <c r="E47" s="2"/>
      <c r="F47" s="2"/>
      <c r="G47" s="2"/>
      <c r="H47" s="2"/>
      <c r="I47" s="2"/>
      <c r="J47" s="2"/>
      <c r="K47" s="2"/>
      <c r="L47" s="3" t="str">
        <f>IF(B47&lt;&gt;"Closed","",IF(K47&gt;=M47,"Target",IF(K47&lt;=N47,"Stop",IF(R47&gt;=Settings!$B$4,"Time","Manual"))))</f>
        <v/>
      </c>
      <c r="M47" s="3" t="str">
        <f>IF(F47="","",F47*(1+Settings!$B$2))</f>
        <v/>
      </c>
      <c r="N47" s="3" t="str">
        <f>IF(F47="","",F47*(1-Settings!$B$3))</f>
        <v/>
      </c>
      <c r="O47" s="3" t="str">
        <f>IF(E47="","",E47+Settings!$B$4)</f>
        <v/>
      </c>
      <c r="P47" s="3" t="str">
        <f t="shared" si="2"/>
        <v/>
      </c>
      <c r="Q47" s="3" t="str">
        <f t="shared" si="3"/>
        <v/>
      </c>
      <c r="R47" s="3" t="str">
        <f t="shared" ca="1" si="4"/>
        <v/>
      </c>
      <c r="S47" s="3" t="str">
        <f t="shared" ca="1" si="5"/>
        <v/>
      </c>
      <c r="T47" s="3" t="str">
        <f t="shared" si="6"/>
        <v/>
      </c>
      <c r="U47" s="3" t="str">
        <f t="shared" si="7"/>
        <v/>
      </c>
      <c r="V47" s="3" t="str">
        <f t="shared" si="8"/>
        <v/>
      </c>
      <c r="W47" s="3" t="str">
        <f t="shared" ca="1" si="9"/>
        <v/>
      </c>
      <c r="X47" s="3" t="str">
        <f t="shared" ca="1" si="10"/>
        <v/>
      </c>
      <c r="Y47" s="2"/>
    </row>
    <row r="48" spans="1:25">
      <c r="A48" s="3" t="str">
        <f t="shared" si="0"/>
        <v/>
      </c>
      <c r="B48" s="3" t="str">
        <f t="shared" si="1"/>
        <v/>
      </c>
      <c r="C48" s="2"/>
      <c r="D48" s="2"/>
      <c r="E48" s="2"/>
      <c r="F48" s="2"/>
      <c r="G48" s="2"/>
      <c r="H48" s="2"/>
      <c r="I48" s="2"/>
      <c r="J48" s="2"/>
      <c r="K48" s="2"/>
      <c r="L48" s="3" t="str">
        <f>IF(B48&lt;&gt;"Closed","",IF(K48&gt;=M48,"Target",IF(K48&lt;=N48,"Stop",IF(R48&gt;=Settings!$B$4,"Time","Manual"))))</f>
        <v/>
      </c>
      <c r="M48" s="3" t="str">
        <f>IF(F48="","",F48*(1+Settings!$B$2))</f>
        <v/>
      </c>
      <c r="N48" s="3" t="str">
        <f>IF(F48="","",F48*(1-Settings!$B$3))</f>
        <v/>
      </c>
      <c r="O48" s="3" t="str">
        <f>IF(E48="","",E48+Settings!$B$4)</f>
        <v/>
      </c>
      <c r="P48" s="3" t="str">
        <f t="shared" si="2"/>
        <v/>
      </c>
      <c r="Q48" s="3" t="str">
        <f t="shared" si="3"/>
        <v/>
      </c>
      <c r="R48" s="3" t="str">
        <f t="shared" ca="1" si="4"/>
        <v/>
      </c>
      <c r="S48" s="3" t="str">
        <f t="shared" ca="1" si="5"/>
        <v/>
      </c>
      <c r="T48" s="3" t="str">
        <f t="shared" si="6"/>
        <v/>
      </c>
      <c r="U48" s="3" t="str">
        <f t="shared" si="7"/>
        <v/>
      </c>
      <c r="V48" s="3" t="str">
        <f t="shared" si="8"/>
        <v/>
      </c>
      <c r="W48" s="3" t="str">
        <f t="shared" ca="1" si="9"/>
        <v/>
      </c>
      <c r="X48" s="3" t="str">
        <f t="shared" ca="1" si="10"/>
        <v/>
      </c>
      <c r="Y48" s="2"/>
    </row>
    <row r="49" spans="1:25">
      <c r="A49" s="3" t="str">
        <f t="shared" si="0"/>
        <v/>
      </c>
      <c r="B49" s="3" t="str">
        <f t="shared" si="1"/>
        <v/>
      </c>
      <c r="C49" s="2"/>
      <c r="D49" s="2"/>
      <c r="E49" s="2"/>
      <c r="F49" s="2"/>
      <c r="G49" s="2"/>
      <c r="H49" s="2"/>
      <c r="I49" s="2"/>
      <c r="J49" s="2"/>
      <c r="K49" s="2"/>
      <c r="L49" s="3" t="str">
        <f>IF(B49&lt;&gt;"Closed","",IF(K49&gt;=M49,"Target",IF(K49&lt;=N49,"Stop",IF(R49&gt;=Settings!$B$4,"Time","Manual"))))</f>
        <v/>
      </c>
      <c r="M49" s="3" t="str">
        <f>IF(F49="","",F49*(1+Settings!$B$2))</f>
        <v/>
      </c>
      <c r="N49" s="3" t="str">
        <f>IF(F49="","",F49*(1-Settings!$B$3))</f>
        <v/>
      </c>
      <c r="O49" s="3" t="str">
        <f>IF(E49="","",E49+Settings!$B$4)</f>
        <v/>
      </c>
      <c r="P49" s="3" t="str">
        <f t="shared" si="2"/>
        <v/>
      </c>
      <c r="Q49" s="3" t="str">
        <f t="shared" si="3"/>
        <v/>
      </c>
      <c r="R49" s="3" t="str">
        <f t="shared" ca="1" si="4"/>
        <v/>
      </c>
      <c r="S49" s="3" t="str">
        <f t="shared" ca="1" si="5"/>
        <v/>
      </c>
      <c r="T49" s="3" t="str">
        <f t="shared" si="6"/>
        <v/>
      </c>
      <c r="U49" s="3" t="str">
        <f t="shared" si="7"/>
        <v/>
      </c>
      <c r="V49" s="3" t="str">
        <f t="shared" si="8"/>
        <v/>
      </c>
      <c r="W49" s="3" t="str">
        <f t="shared" ca="1" si="9"/>
        <v/>
      </c>
      <c r="X49" s="3" t="str">
        <f t="shared" ca="1" si="10"/>
        <v/>
      </c>
      <c r="Y49" s="2"/>
    </row>
    <row r="50" spans="1:25">
      <c r="A50" s="3" t="str">
        <f t="shared" si="0"/>
        <v/>
      </c>
      <c r="B50" s="3" t="str">
        <f t="shared" si="1"/>
        <v/>
      </c>
      <c r="C50" s="2"/>
      <c r="D50" s="2"/>
      <c r="E50" s="2"/>
      <c r="F50" s="2"/>
      <c r="G50" s="2"/>
      <c r="H50" s="2"/>
      <c r="I50" s="2"/>
      <c r="J50" s="2"/>
      <c r="K50" s="2"/>
      <c r="L50" s="3" t="str">
        <f>IF(B50&lt;&gt;"Closed","",IF(K50&gt;=M50,"Target",IF(K50&lt;=N50,"Stop",IF(R50&gt;=Settings!$B$4,"Time","Manual"))))</f>
        <v/>
      </c>
      <c r="M50" s="3" t="str">
        <f>IF(F50="","",F50*(1+Settings!$B$2))</f>
        <v/>
      </c>
      <c r="N50" s="3" t="str">
        <f>IF(F50="","",F50*(1-Settings!$B$3))</f>
        <v/>
      </c>
      <c r="O50" s="3" t="str">
        <f>IF(E50="","",E50+Settings!$B$4)</f>
        <v/>
      </c>
      <c r="P50" s="3" t="str">
        <f t="shared" si="2"/>
        <v/>
      </c>
      <c r="Q50" s="3" t="str">
        <f t="shared" si="3"/>
        <v/>
      </c>
      <c r="R50" s="3" t="str">
        <f t="shared" ca="1" si="4"/>
        <v/>
      </c>
      <c r="S50" s="3" t="str">
        <f t="shared" ca="1" si="5"/>
        <v/>
      </c>
      <c r="T50" s="3" t="str">
        <f t="shared" si="6"/>
        <v/>
      </c>
      <c r="U50" s="3" t="str">
        <f t="shared" si="7"/>
        <v/>
      </c>
      <c r="V50" s="3" t="str">
        <f t="shared" si="8"/>
        <v/>
      </c>
      <c r="W50" s="3" t="str">
        <f t="shared" ca="1" si="9"/>
        <v/>
      </c>
      <c r="X50" s="3" t="str">
        <f t="shared" ca="1" si="10"/>
        <v/>
      </c>
      <c r="Y50" s="2"/>
    </row>
    <row r="51" spans="1:25">
      <c r="A51" s="3" t="str">
        <f t="shared" si="0"/>
        <v/>
      </c>
      <c r="B51" s="3" t="str">
        <f t="shared" si="1"/>
        <v/>
      </c>
      <c r="C51" s="2"/>
      <c r="D51" s="2"/>
      <c r="E51" s="2"/>
      <c r="F51" s="2"/>
      <c r="G51" s="2"/>
      <c r="H51" s="2"/>
      <c r="I51" s="2"/>
      <c r="J51" s="2"/>
      <c r="K51" s="2"/>
      <c r="L51" s="3" t="str">
        <f>IF(B51&lt;&gt;"Closed","",IF(K51&gt;=M51,"Target",IF(K51&lt;=N51,"Stop",IF(R51&gt;=Settings!$B$4,"Time","Manual"))))</f>
        <v/>
      </c>
      <c r="M51" s="3" t="str">
        <f>IF(F51="","",F51*(1+Settings!$B$2))</f>
        <v/>
      </c>
      <c r="N51" s="3" t="str">
        <f>IF(F51="","",F51*(1-Settings!$B$3))</f>
        <v/>
      </c>
      <c r="O51" s="3" t="str">
        <f>IF(E51="","",E51+Settings!$B$4)</f>
        <v/>
      </c>
      <c r="P51" s="3" t="str">
        <f t="shared" si="2"/>
        <v/>
      </c>
      <c r="Q51" s="3" t="str">
        <f t="shared" si="3"/>
        <v/>
      </c>
      <c r="R51" s="3" t="str">
        <f t="shared" ca="1" si="4"/>
        <v/>
      </c>
      <c r="S51" s="3" t="str">
        <f t="shared" ca="1" si="5"/>
        <v/>
      </c>
      <c r="T51" s="3" t="str">
        <f t="shared" si="6"/>
        <v/>
      </c>
      <c r="U51" s="3" t="str">
        <f t="shared" si="7"/>
        <v/>
      </c>
      <c r="V51" s="3" t="str">
        <f t="shared" si="8"/>
        <v/>
      </c>
      <c r="W51" s="3" t="str">
        <f t="shared" ca="1" si="9"/>
        <v/>
      </c>
      <c r="X51" s="3" t="str">
        <f t="shared" ca="1" si="10"/>
        <v/>
      </c>
      <c r="Y51" s="2"/>
    </row>
    <row r="52" spans="1:25">
      <c r="A52" s="3" t="str">
        <f t="shared" si="0"/>
        <v/>
      </c>
      <c r="B52" s="3" t="str">
        <f t="shared" si="1"/>
        <v/>
      </c>
      <c r="C52" s="2"/>
      <c r="D52" s="2"/>
      <c r="E52" s="2"/>
      <c r="F52" s="2"/>
      <c r="G52" s="2"/>
      <c r="H52" s="2"/>
      <c r="I52" s="2"/>
      <c r="J52" s="2"/>
      <c r="K52" s="2"/>
      <c r="L52" s="3" t="str">
        <f>IF(B52&lt;&gt;"Closed","",IF(K52&gt;=M52,"Target",IF(K52&lt;=N52,"Stop",IF(R52&gt;=Settings!$B$4,"Time","Manual"))))</f>
        <v/>
      </c>
      <c r="M52" s="3" t="str">
        <f>IF(F52="","",F52*(1+Settings!$B$2))</f>
        <v/>
      </c>
      <c r="N52" s="3" t="str">
        <f>IF(F52="","",F52*(1-Settings!$B$3))</f>
        <v/>
      </c>
      <c r="O52" s="3" t="str">
        <f>IF(E52="","",E52+Settings!$B$4)</f>
        <v/>
      </c>
      <c r="P52" s="3" t="str">
        <f t="shared" si="2"/>
        <v/>
      </c>
      <c r="Q52" s="3" t="str">
        <f t="shared" si="3"/>
        <v/>
      </c>
      <c r="R52" s="3" t="str">
        <f t="shared" ca="1" si="4"/>
        <v/>
      </c>
      <c r="S52" s="3" t="str">
        <f t="shared" ca="1" si="5"/>
        <v/>
      </c>
      <c r="T52" s="3" t="str">
        <f t="shared" si="6"/>
        <v/>
      </c>
      <c r="U52" s="3" t="str">
        <f t="shared" si="7"/>
        <v/>
      </c>
      <c r="V52" s="3" t="str">
        <f t="shared" si="8"/>
        <v/>
      </c>
      <c r="W52" s="3" t="str">
        <f t="shared" ca="1" si="9"/>
        <v/>
      </c>
      <c r="X52" s="3" t="str">
        <f t="shared" ca="1" si="10"/>
        <v/>
      </c>
      <c r="Y52" s="2"/>
    </row>
    <row r="53" spans="1:25">
      <c r="A53" s="3" t="str">
        <f t="shared" si="0"/>
        <v/>
      </c>
      <c r="B53" s="3" t="str">
        <f t="shared" si="1"/>
        <v/>
      </c>
      <c r="C53" s="2"/>
      <c r="D53" s="2"/>
      <c r="E53" s="2"/>
      <c r="F53" s="2"/>
      <c r="G53" s="2"/>
      <c r="H53" s="2"/>
      <c r="I53" s="2"/>
      <c r="J53" s="2"/>
      <c r="K53" s="2"/>
      <c r="L53" s="3" t="str">
        <f>IF(B53&lt;&gt;"Closed","",IF(K53&gt;=M53,"Target",IF(K53&lt;=N53,"Stop",IF(R53&gt;=Settings!$B$4,"Time","Manual"))))</f>
        <v/>
      </c>
      <c r="M53" s="3" t="str">
        <f>IF(F53="","",F53*(1+Settings!$B$2))</f>
        <v/>
      </c>
      <c r="N53" s="3" t="str">
        <f>IF(F53="","",F53*(1-Settings!$B$3))</f>
        <v/>
      </c>
      <c r="O53" s="3" t="str">
        <f>IF(E53="","",E53+Settings!$B$4)</f>
        <v/>
      </c>
      <c r="P53" s="3" t="str">
        <f t="shared" si="2"/>
        <v/>
      </c>
      <c r="Q53" s="3" t="str">
        <f t="shared" si="3"/>
        <v/>
      </c>
      <c r="R53" s="3" t="str">
        <f t="shared" ca="1" si="4"/>
        <v/>
      </c>
      <c r="S53" s="3" t="str">
        <f t="shared" ca="1" si="5"/>
        <v/>
      </c>
      <c r="T53" s="3" t="str">
        <f t="shared" si="6"/>
        <v/>
      </c>
      <c r="U53" s="3" t="str">
        <f t="shared" si="7"/>
        <v/>
      </c>
      <c r="V53" s="3" t="str">
        <f t="shared" si="8"/>
        <v/>
      </c>
      <c r="W53" s="3" t="str">
        <f t="shared" ca="1" si="9"/>
        <v/>
      </c>
      <c r="X53" s="3" t="str">
        <f t="shared" ca="1" si="10"/>
        <v/>
      </c>
      <c r="Y53" s="2"/>
    </row>
    <row r="54" spans="1:25">
      <c r="A54" s="3" t="str">
        <f t="shared" si="0"/>
        <v/>
      </c>
      <c r="B54" s="3" t="str">
        <f t="shared" si="1"/>
        <v/>
      </c>
      <c r="C54" s="2"/>
      <c r="D54" s="2"/>
      <c r="E54" s="2"/>
      <c r="F54" s="2"/>
      <c r="G54" s="2"/>
      <c r="H54" s="2"/>
      <c r="I54" s="2"/>
      <c r="J54" s="2"/>
      <c r="K54" s="2"/>
      <c r="L54" s="3" t="str">
        <f>IF(B54&lt;&gt;"Closed","",IF(K54&gt;=M54,"Target",IF(K54&lt;=N54,"Stop",IF(R54&gt;=Settings!$B$4,"Time","Manual"))))</f>
        <v/>
      </c>
      <c r="M54" s="3" t="str">
        <f>IF(F54="","",F54*(1+Settings!$B$2))</f>
        <v/>
      </c>
      <c r="N54" s="3" t="str">
        <f>IF(F54="","",F54*(1-Settings!$B$3))</f>
        <v/>
      </c>
      <c r="O54" s="3" t="str">
        <f>IF(E54="","",E54+Settings!$B$4)</f>
        <v/>
      </c>
      <c r="P54" s="3" t="str">
        <f t="shared" si="2"/>
        <v/>
      </c>
      <c r="Q54" s="3" t="str">
        <f t="shared" si="3"/>
        <v/>
      </c>
      <c r="R54" s="3" t="str">
        <f t="shared" ca="1" si="4"/>
        <v/>
      </c>
      <c r="S54" s="3" t="str">
        <f t="shared" ca="1" si="5"/>
        <v/>
      </c>
      <c r="T54" s="3" t="str">
        <f t="shared" si="6"/>
        <v/>
      </c>
      <c r="U54" s="3" t="str">
        <f t="shared" si="7"/>
        <v/>
      </c>
      <c r="V54" s="3" t="str">
        <f t="shared" si="8"/>
        <v/>
      </c>
      <c r="W54" s="3" t="str">
        <f t="shared" ca="1" si="9"/>
        <v/>
      </c>
      <c r="X54" s="3" t="str">
        <f t="shared" ca="1" si="10"/>
        <v/>
      </c>
      <c r="Y54" s="2"/>
    </row>
    <row r="55" spans="1:25">
      <c r="A55" s="3" t="str">
        <f t="shared" si="0"/>
        <v/>
      </c>
      <c r="B55" s="3" t="str">
        <f t="shared" si="1"/>
        <v/>
      </c>
      <c r="C55" s="2"/>
      <c r="D55" s="2"/>
      <c r="E55" s="2"/>
      <c r="F55" s="2"/>
      <c r="G55" s="2"/>
      <c r="H55" s="2"/>
      <c r="I55" s="2"/>
      <c r="J55" s="2"/>
      <c r="K55" s="2"/>
      <c r="L55" s="3" t="str">
        <f>IF(B55&lt;&gt;"Closed","",IF(K55&gt;=M55,"Target",IF(K55&lt;=N55,"Stop",IF(R55&gt;=Settings!$B$4,"Time","Manual"))))</f>
        <v/>
      </c>
      <c r="M55" s="3" t="str">
        <f>IF(F55="","",F55*(1+Settings!$B$2))</f>
        <v/>
      </c>
      <c r="N55" s="3" t="str">
        <f>IF(F55="","",F55*(1-Settings!$B$3))</f>
        <v/>
      </c>
      <c r="O55" s="3" t="str">
        <f>IF(E55="","",E55+Settings!$B$4)</f>
        <v/>
      </c>
      <c r="P55" s="3" t="str">
        <f t="shared" si="2"/>
        <v/>
      </c>
      <c r="Q55" s="3" t="str">
        <f t="shared" si="3"/>
        <v/>
      </c>
      <c r="R55" s="3" t="str">
        <f t="shared" ca="1" si="4"/>
        <v/>
      </c>
      <c r="S55" s="3" t="str">
        <f t="shared" ca="1" si="5"/>
        <v/>
      </c>
      <c r="T55" s="3" t="str">
        <f t="shared" si="6"/>
        <v/>
      </c>
      <c r="U55" s="3" t="str">
        <f t="shared" si="7"/>
        <v/>
      </c>
      <c r="V55" s="3" t="str">
        <f t="shared" si="8"/>
        <v/>
      </c>
      <c r="W55" s="3" t="str">
        <f t="shared" ca="1" si="9"/>
        <v/>
      </c>
      <c r="X55" s="3" t="str">
        <f t="shared" ca="1" si="10"/>
        <v/>
      </c>
      <c r="Y55" s="2"/>
    </row>
    <row r="56" spans="1:25">
      <c r="A56" s="3" t="str">
        <f t="shared" si="0"/>
        <v/>
      </c>
      <c r="B56" s="3" t="str">
        <f t="shared" si="1"/>
        <v/>
      </c>
      <c r="C56" s="2"/>
      <c r="D56" s="2"/>
      <c r="E56" s="2"/>
      <c r="F56" s="2"/>
      <c r="G56" s="2"/>
      <c r="H56" s="2"/>
      <c r="I56" s="2"/>
      <c r="J56" s="2"/>
      <c r="K56" s="2"/>
      <c r="L56" s="3" t="str">
        <f>IF(B56&lt;&gt;"Closed","",IF(K56&gt;=M56,"Target",IF(K56&lt;=N56,"Stop",IF(R56&gt;=Settings!$B$4,"Time","Manual"))))</f>
        <v/>
      </c>
      <c r="M56" s="3" t="str">
        <f>IF(F56="","",F56*(1+Settings!$B$2))</f>
        <v/>
      </c>
      <c r="N56" s="3" t="str">
        <f>IF(F56="","",F56*(1-Settings!$B$3))</f>
        <v/>
      </c>
      <c r="O56" s="3" t="str">
        <f>IF(E56="","",E56+Settings!$B$4)</f>
        <v/>
      </c>
      <c r="P56" s="3" t="str">
        <f t="shared" si="2"/>
        <v/>
      </c>
      <c r="Q56" s="3" t="str">
        <f t="shared" si="3"/>
        <v/>
      </c>
      <c r="R56" s="3" t="str">
        <f t="shared" ca="1" si="4"/>
        <v/>
      </c>
      <c r="S56" s="3" t="str">
        <f t="shared" ca="1" si="5"/>
        <v/>
      </c>
      <c r="T56" s="3" t="str">
        <f t="shared" si="6"/>
        <v/>
      </c>
      <c r="U56" s="3" t="str">
        <f t="shared" si="7"/>
        <v/>
      </c>
      <c r="V56" s="3" t="str">
        <f t="shared" si="8"/>
        <v/>
      </c>
      <c r="W56" s="3" t="str">
        <f t="shared" ca="1" si="9"/>
        <v/>
      </c>
      <c r="X56" s="3" t="str">
        <f t="shared" ca="1" si="10"/>
        <v/>
      </c>
      <c r="Y56" s="2"/>
    </row>
    <row r="57" spans="1:25">
      <c r="A57" s="3" t="str">
        <f t="shared" si="0"/>
        <v/>
      </c>
      <c r="B57" s="3" t="str">
        <f t="shared" si="1"/>
        <v/>
      </c>
      <c r="C57" s="2"/>
      <c r="D57" s="2"/>
      <c r="E57" s="2"/>
      <c r="F57" s="2"/>
      <c r="G57" s="2"/>
      <c r="H57" s="2"/>
      <c r="I57" s="2"/>
      <c r="J57" s="2"/>
      <c r="K57" s="2"/>
      <c r="L57" s="3" t="str">
        <f>IF(B57&lt;&gt;"Closed","",IF(K57&gt;=M57,"Target",IF(K57&lt;=N57,"Stop",IF(R57&gt;=Settings!$B$4,"Time","Manual"))))</f>
        <v/>
      </c>
      <c r="M57" s="3" t="str">
        <f>IF(F57="","",F57*(1+Settings!$B$2))</f>
        <v/>
      </c>
      <c r="N57" s="3" t="str">
        <f>IF(F57="","",F57*(1-Settings!$B$3))</f>
        <v/>
      </c>
      <c r="O57" s="3" t="str">
        <f>IF(E57="","",E57+Settings!$B$4)</f>
        <v/>
      </c>
      <c r="P57" s="3" t="str">
        <f t="shared" si="2"/>
        <v/>
      </c>
      <c r="Q57" s="3" t="str">
        <f t="shared" si="3"/>
        <v/>
      </c>
      <c r="R57" s="3" t="str">
        <f t="shared" ca="1" si="4"/>
        <v/>
      </c>
      <c r="S57" s="3" t="str">
        <f t="shared" ca="1" si="5"/>
        <v/>
      </c>
      <c r="T57" s="3" t="str">
        <f t="shared" si="6"/>
        <v/>
      </c>
      <c r="U57" s="3" t="str">
        <f t="shared" si="7"/>
        <v/>
      </c>
      <c r="V57" s="3" t="str">
        <f t="shared" si="8"/>
        <v/>
      </c>
      <c r="W57" s="3" t="str">
        <f t="shared" ca="1" si="9"/>
        <v/>
      </c>
      <c r="X57" s="3" t="str">
        <f t="shared" ca="1" si="10"/>
        <v/>
      </c>
      <c r="Y57" s="2"/>
    </row>
    <row r="58" spans="1:25">
      <c r="A58" s="3" t="str">
        <f t="shared" si="0"/>
        <v/>
      </c>
      <c r="B58" s="3" t="str">
        <f t="shared" si="1"/>
        <v/>
      </c>
      <c r="C58" s="2"/>
      <c r="D58" s="2"/>
      <c r="E58" s="2"/>
      <c r="F58" s="2"/>
      <c r="G58" s="2"/>
      <c r="H58" s="2"/>
      <c r="I58" s="2"/>
      <c r="J58" s="2"/>
      <c r="K58" s="2"/>
      <c r="L58" s="3" t="str">
        <f>IF(B58&lt;&gt;"Closed","",IF(K58&gt;=M58,"Target",IF(K58&lt;=N58,"Stop",IF(R58&gt;=Settings!$B$4,"Time","Manual"))))</f>
        <v/>
      </c>
      <c r="M58" s="3" t="str">
        <f>IF(F58="","",F58*(1+Settings!$B$2))</f>
        <v/>
      </c>
      <c r="N58" s="3" t="str">
        <f>IF(F58="","",F58*(1-Settings!$B$3))</f>
        <v/>
      </c>
      <c r="O58" s="3" t="str">
        <f>IF(E58="","",E58+Settings!$B$4)</f>
        <v/>
      </c>
      <c r="P58" s="3" t="str">
        <f t="shared" si="2"/>
        <v/>
      </c>
      <c r="Q58" s="3" t="str">
        <f t="shared" si="3"/>
        <v/>
      </c>
      <c r="R58" s="3" t="str">
        <f t="shared" ca="1" si="4"/>
        <v/>
      </c>
      <c r="S58" s="3" t="str">
        <f t="shared" ca="1" si="5"/>
        <v/>
      </c>
      <c r="T58" s="3" t="str">
        <f t="shared" si="6"/>
        <v/>
      </c>
      <c r="U58" s="3" t="str">
        <f t="shared" si="7"/>
        <v/>
      </c>
      <c r="V58" s="3" t="str">
        <f t="shared" si="8"/>
        <v/>
      </c>
      <c r="W58" s="3" t="str">
        <f t="shared" ca="1" si="9"/>
        <v/>
      </c>
      <c r="X58" s="3" t="str">
        <f t="shared" ca="1" si="10"/>
        <v/>
      </c>
      <c r="Y58" s="2"/>
    </row>
    <row r="59" spans="1:25">
      <c r="A59" s="3" t="str">
        <f t="shared" si="0"/>
        <v/>
      </c>
      <c r="B59" s="3" t="str">
        <f t="shared" si="1"/>
        <v/>
      </c>
      <c r="C59" s="2"/>
      <c r="D59" s="2"/>
      <c r="E59" s="2"/>
      <c r="F59" s="2"/>
      <c r="G59" s="2"/>
      <c r="H59" s="2"/>
      <c r="I59" s="2"/>
      <c r="J59" s="2"/>
      <c r="K59" s="2"/>
      <c r="L59" s="3" t="str">
        <f>IF(B59&lt;&gt;"Closed","",IF(K59&gt;=M59,"Target",IF(K59&lt;=N59,"Stop",IF(R59&gt;=Settings!$B$4,"Time","Manual"))))</f>
        <v/>
      </c>
      <c r="M59" s="3" t="str">
        <f>IF(F59="","",F59*(1+Settings!$B$2))</f>
        <v/>
      </c>
      <c r="N59" s="3" t="str">
        <f>IF(F59="","",F59*(1-Settings!$B$3))</f>
        <v/>
      </c>
      <c r="O59" s="3" t="str">
        <f>IF(E59="","",E59+Settings!$B$4)</f>
        <v/>
      </c>
      <c r="P59" s="3" t="str">
        <f t="shared" si="2"/>
        <v/>
      </c>
      <c r="Q59" s="3" t="str">
        <f t="shared" si="3"/>
        <v/>
      </c>
      <c r="R59" s="3" t="str">
        <f t="shared" ca="1" si="4"/>
        <v/>
      </c>
      <c r="S59" s="3" t="str">
        <f t="shared" ca="1" si="5"/>
        <v/>
      </c>
      <c r="T59" s="3" t="str">
        <f t="shared" si="6"/>
        <v/>
      </c>
      <c r="U59" s="3" t="str">
        <f t="shared" si="7"/>
        <v/>
      </c>
      <c r="V59" s="3" t="str">
        <f t="shared" si="8"/>
        <v/>
      </c>
      <c r="W59" s="3" t="str">
        <f t="shared" ca="1" si="9"/>
        <v/>
      </c>
      <c r="X59" s="3" t="str">
        <f t="shared" ca="1" si="10"/>
        <v/>
      </c>
      <c r="Y59" s="2"/>
    </row>
    <row r="60" spans="1:25">
      <c r="A60" s="3" t="str">
        <f t="shared" si="0"/>
        <v/>
      </c>
      <c r="B60" s="3" t="str">
        <f t="shared" si="1"/>
        <v/>
      </c>
      <c r="C60" s="2"/>
      <c r="D60" s="2"/>
      <c r="E60" s="2"/>
      <c r="F60" s="2"/>
      <c r="G60" s="2"/>
      <c r="H60" s="2"/>
      <c r="I60" s="2"/>
      <c r="J60" s="2"/>
      <c r="K60" s="2"/>
      <c r="L60" s="3" t="str">
        <f>IF(B60&lt;&gt;"Closed","",IF(K60&gt;=M60,"Target",IF(K60&lt;=N60,"Stop",IF(R60&gt;=Settings!$B$4,"Time","Manual"))))</f>
        <v/>
      </c>
      <c r="M60" s="3" t="str">
        <f>IF(F60="","",F60*(1+Settings!$B$2))</f>
        <v/>
      </c>
      <c r="N60" s="3" t="str">
        <f>IF(F60="","",F60*(1-Settings!$B$3))</f>
        <v/>
      </c>
      <c r="O60" s="3" t="str">
        <f>IF(E60="","",E60+Settings!$B$4)</f>
        <v/>
      </c>
      <c r="P60" s="3" t="str">
        <f t="shared" si="2"/>
        <v/>
      </c>
      <c r="Q60" s="3" t="str">
        <f t="shared" si="3"/>
        <v/>
      </c>
      <c r="R60" s="3" t="str">
        <f t="shared" ca="1" si="4"/>
        <v/>
      </c>
      <c r="S60" s="3" t="str">
        <f t="shared" ca="1" si="5"/>
        <v/>
      </c>
      <c r="T60" s="3" t="str">
        <f t="shared" si="6"/>
        <v/>
      </c>
      <c r="U60" s="3" t="str">
        <f t="shared" si="7"/>
        <v/>
      </c>
      <c r="V60" s="3" t="str">
        <f t="shared" si="8"/>
        <v/>
      </c>
      <c r="W60" s="3" t="str">
        <f t="shared" ca="1" si="9"/>
        <v/>
      </c>
      <c r="X60" s="3" t="str">
        <f t="shared" ca="1" si="10"/>
        <v/>
      </c>
      <c r="Y60" s="2"/>
    </row>
    <row r="61" spans="1:25">
      <c r="A61" s="3" t="str">
        <f t="shared" si="0"/>
        <v/>
      </c>
      <c r="B61" s="3" t="str">
        <f t="shared" si="1"/>
        <v/>
      </c>
      <c r="C61" s="2"/>
      <c r="D61" s="2"/>
      <c r="E61" s="2"/>
      <c r="F61" s="2"/>
      <c r="G61" s="2"/>
      <c r="H61" s="2"/>
      <c r="I61" s="2"/>
      <c r="J61" s="2"/>
      <c r="K61" s="2"/>
      <c r="L61" s="3" t="str">
        <f>IF(B61&lt;&gt;"Closed","",IF(K61&gt;=M61,"Target",IF(K61&lt;=N61,"Stop",IF(R61&gt;=Settings!$B$4,"Time","Manual"))))</f>
        <v/>
      </c>
      <c r="M61" s="3" t="str">
        <f>IF(F61="","",F61*(1+Settings!$B$2))</f>
        <v/>
      </c>
      <c r="N61" s="3" t="str">
        <f>IF(F61="","",F61*(1-Settings!$B$3))</f>
        <v/>
      </c>
      <c r="O61" s="3" t="str">
        <f>IF(E61="","",E61+Settings!$B$4)</f>
        <v/>
      </c>
      <c r="P61" s="3" t="str">
        <f t="shared" si="2"/>
        <v/>
      </c>
      <c r="Q61" s="3" t="str">
        <f t="shared" si="3"/>
        <v/>
      </c>
      <c r="R61" s="3" t="str">
        <f t="shared" ca="1" si="4"/>
        <v/>
      </c>
      <c r="S61" s="3" t="str">
        <f t="shared" ca="1" si="5"/>
        <v/>
      </c>
      <c r="T61" s="3" t="str">
        <f t="shared" si="6"/>
        <v/>
      </c>
      <c r="U61" s="3" t="str">
        <f t="shared" si="7"/>
        <v/>
      </c>
      <c r="V61" s="3" t="str">
        <f t="shared" si="8"/>
        <v/>
      </c>
      <c r="W61" s="3" t="str">
        <f t="shared" ca="1" si="9"/>
        <v/>
      </c>
      <c r="X61" s="3" t="str">
        <f t="shared" ca="1" si="10"/>
        <v/>
      </c>
      <c r="Y61" s="2"/>
    </row>
    <row r="62" spans="1:25">
      <c r="A62" s="3" t="str">
        <f t="shared" si="0"/>
        <v/>
      </c>
      <c r="B62" s="3" t="str">
        <f t="shared" si="1"/>
        <v/>
      </c>
      <c r="C62" s="2"/>
      <c r="D62" s="2"/>
      <c r="E62" s="2"/>
      <c r="F62" s="2"/>
      <c r="G62" s="2"/>
      <c r="H62" s="2"/>
      <c r="I62" s="2"/>
      <c r="J62" s="2"/>
      <c r="K62" s="2"/>
      <c r="L62" s="3" t="str">
        <f>IF(B62&lt;&gt;"Closed","",IF(K62&gt;=M62,"Target",IF(K62&lt;=N62,"Stop",IF(R62&gt;=Settings!$B$4,"Time","Manual"))))</f>
        <v/>
      </c>
      <c r="M62" s="3" t="str">
        <f>IF(F62="","",F62*(1+Settings!$B$2))</f>
        <v/>
      </c>
      <c r="N62" s="3" t="str">
        <f>IF(F62="","",F62*(1-Settings!$B$3))</f>
        <v/>
      </c>
      <c r="O62" s="3" t="str">
        <f>IF(E62="","",E62+Settings!$B$4)</f>
        <v/>
      </c>
      <c r="P62" s="3" t="str">
        <f t="shared" si="2"/>
        <v/>
      </c>
      <c r="Q62" s="3" t="str">
        <f t="shared" si="3"/>
        <v/>
      </c>
      <c r="R62" s="3" t="str">
        <f t="shared" ca="1" si="4"/>
        <v/>
      </c>
      <c r="S62" s="3" t="str">
        <f t="shared" ca="1" si="5"/>
        <v/>
      </c>
      <c r="T62" s="3" t="str">
        <f t="shared" si="6"/>
        <v/>
      </c>
      <c r="U62" s="3" t="str">
        <f t="shared" si="7"/>
        <v/>
      </c>
      <c r="V62" s="3" t="str">
        <f t="shared" si="8"/>
        <v/>
      </c>
      <c r="W62" s="3" t="str">
        <f t="shared" ca="1" si="9"/>
        <v/>
      </c>
      <c r="X62" s="3" t="str">
        <f t="shared" ca="1" si="10"/>
        <v/>
      </c>
      <c r="Y62" s="2"/>
    </row>
    <row r="63" spans="1:25">
      <c r="A63" s="3" t="str">
        <f t="shared" si="0"/>
        <v/>
      </c>
      <c r="B63" s="3" t="str">
        <f t="shared" si="1"/>
        <v/>
      </c>
      <c r="C63" s="2"/>
      <c r="D63" s="2"/>
      <c r="E63" s="2"/>
      <c r="F63" s="2"/>
      <c r="G63" s="2"/>
      <c r="H63" s="2"/>
      <c r="I63" s="2"/>
      <c r="J63" s="2"/>
      <c r="K63" s="2"/>
      <c r="L63" s="3" t="str">
        <f>IF(B63&lt;&gt;"Closed","",IF(K63&gt;=M63,"Target",IF(K63&lt;=N63,"Stop",IF(R63&gt;=Settings!$B$4,"Time","Manual"))))</f>
        <v/>
      </c>
      <c r="M63" s="3" t="str">
        <f>IF(F63="","",F63*(1+Settings!$B$2))</f>
        <v/>
      </c>
      <c r="N63" s="3" t="str">
        <f>IF(F63="","",F63*(1-Settings!$B$3))</f>
        <v/>
      </c>
      <c r="O63" s="3" t="str">
        <f>IF(E63="","",E63+Settings!$B$4)</f>
        <v/>
      </c>
      <c r="P63" s="3" t="str">
        <f t="shared" si="2"/>
        <v/>
      </c>
      <c r="Q63" s="3" t="str">
        <f t="shared" si="3"/>
        <v/>
      </c>
      <c r="R63" s="3" t="str">
        <f t="shared" ca="1" si="4"/>
        <v/>
      </c>
      <c r="S63" s="3" t="str">
        <f t="shared" ca="1" si="5"/>
        <v/>
      </c>
      <c r="T63" s="3" t="str">
        <f t="shared" si="6"/>
        <v/>
      </c>
      <c r="U63" s="3" t="str">
        <f t="shared" si="7"/>
        <v/>
      </c>
      <c r="V63" s="3" t="str">
        <f t="shared" si="8"/>
        <v/>
      </c>
      <c r="W63" s="3" t="str">
        <f t="shared" ca="1" si="9"/>
        <v/>
      </c>
      <c r="X63" s="3" t="str">
        <f t="shared" ca="1" si="10"/>
        <v/>
      </c>
      <c r="Y63" s="2"/>
    </row>
    <row r="64" spans="1:25">
      <c r="A64" s="3" t="str">
        <f t="shared" si="0"/>
        <v/>
      </c>
      <c r="B64" s="3" t="str">
        <f t="shared" si="1"/>
        <v/>
      </c>
      <c r="C64" s="2"/>
      <c r="D64" s="2"/>
      <c r="E64" s="2"/>
      <c r="F64" s="2"/>
      <c r="G64" s="2"/>
      <c r="H64" s="2"/>
      <c r="I64" s="2"/>
      <c r="J64" s="2"/>
      <c r="K64" s="2"/>
      <c r="L64" s="3" t="str">
        <f>IF(B64&lt;&gt;"Closed","",IF(K64&gt;=M64,"Target",IF(K64&lt;=N64,"Stop",IF(R64&gt;=Settings!$B$4,"Time","Manual"))))</f>
        <v/>
      </c>
      <c r="M64" s="3" t="str">
        <f>IF(F64="","",F64*(1+Settings!$B$2))</f>
        <v/>
      </c>
      <c r="N64" s="3" t="str">
        <f>IF(F64="","",F64*(1-Settings!$B$3))</f>
        <v/>
      </c>
      <c r="O64" s="3" t="str">
        <f>IF(E64="","",E64+Settings!$B$4)</f>
        <v/>
      </c>
      <c r="P64" s="3" t="str">
        <f t="shared" si="2"/>
        <v/>
      </c>
      <c r="Q64" s="3" t="str">
        <f t="shared" si="3"/>
        <v/>
      </c>
      <c r="R64" s="3" t="str">
        <f t="shared" ca="1" si="4"/>
        <v/>
      </c>
      <c r="S64" s="3" t="str">
        <f t="shared" ca="1" si="5"/>
        <v/>
      </c>
      <c r="T64" s="3" t="str">
        <f t="shared" si="6"/>
        <v/>
      </c>
      <c r="U64" s="3" t="str">
        <f t="shared" si="7"/>
        <v/>
      </c>
      <c r="V64" s="3" t="str">
        <f t="shared" si="8"/>
        <v/>
      </c>
      <c r="W64" s="3" t="str">
        <f t="shared" ca="1" si="9"/>
        <v/>
      </c>
      <c r="X64" s="3" t="str">
        <f t="shared" ca="1" si="10"/>
        <v/>
      </c>
      <c r="Y64" s="2"/>
    </row>
    <row r="65" spans="1:25">
      <c r="A65" s="3" t="str">
        <f t="shared" si="0"/>
        <v/>
      </c>
      <c r="B65" s="3" t="str">
        <f t="shared" si="1"/>
        <v/>
      </c>
      <c r="C65" s="2"/>
      <c r="D65" s="2"/>
      <c r="E65" s="2"/>
      <c r="F65" s="2"/>
      <c r="G65" s="2"/>
      <c r="H65" s="2"/>
      <c r="I65" s="2"/>
      <c r="J65" s="2"/>
      <c r="K65" s="2"/>
      <c r="L65" s="3" t="str">
        <f>IF(B65&lt;&gt;"Closed","",IF(K65&gt;=M65,"Target",IF(K65&lt;=N65,"Stop",IF(R65&gt;=Settings!$B$4,"Time","Manual"))))</f>
        <v/>
      </c>
      <c r="M65" s="3" t="str">
        <f>IF(F65="","",F65*(1+Settings!$B$2))</f>
        <v/>
      </c>
      <c r="N65" s="3" t="str">
        <f>IF(F65="","",F65*(1-Settings!$B$3))</f>
        <v/>
      </c>
      <c r="O65" s="3" t="str">
        <f>IF(E65="","",E65+Settings!$B$4)</f>
        <v/>
      </c>
      <c r="P65" s="3" t="str">
        <f t="shared" si="2"/>
        <v/>
      </c>
      <c r="Q65" s="3" t="str">
        <f t="shared" si="3"/>
        <v/>
      </c>
      <c r="R65" s="3" t="str">
        <f t="shared" ca="1" si="4"/>
        <v/>
      </c>
      <c r="S65" s="3" t="str">
        <f t="shared" ca="1" si="5"/>
        <v/>
      </c>
      <c r="T65" s="3" t="str">
        <f t="shared" si="6"/>
        <v/>
      </c>
      <c r="U65" s="3" t="str">
        <f t="shared" si="7"/>
        <v/>
      </c>
      <c r="V65" s="3" t="str">
        <f t="shared" si="8"/>
        <v/>
      </c>
      <c r="W65" s="3" t="str">
        <f t="shared" ca="1" si="9"/>
        <v/>
      </c>
      <c r="X65" s="3" t="str">
        <f t="shared" ca="1" si="10"/>
        <v/>
      </c>
      <c r="Y65" s="2"/>
    </row>
    <row r="66" spans="1:25">
      <c r="A66" s="3" t="str">
        <f t="shared" ref="A66:A129" si="11">IF(C66="","",ROW()-1)</f>
        <v/>
      </c>
      <c r="B66" s="3" t="str">
        <f t="shared" ref="B66:B129" si="12">IF(AND(J66&lt;&gt;"",K66&lt;&gt;""),"Closed",IF(AND(C66&lt;&gt;"",E66&lt;&gt;"",F66&lt;&gt;""),"Open",""))</f>
        <v/>
      </c>
      <c r="C66" s="2"/>
      <c r="D66" s="2"/>
      <c r="E66" s="2"/>
      <c r="F66" s="2"/>
      <c r="G66" s="2"/>
      <c r="H66" s="2"/>
      <c r="I66" s="2"/>
      <c r="J66" s="2"/>
      <c r="K66" s="2"/>
      <c r="L66" s="3" t="str">
        <f>IF(B66&lt;&gt;"Closed","",IF(K66&gt;=M66,"Target",IF(K66&lt;=N66,"Stop",IF(R66&gt;=Settings!$B$4,"Time","Manual"))))</f>
        <v/>
      </c>
      <c r="M66" s="3" t="str">
        <f>IF(F66="","",F66*(1+Settings!$B$2))</f>
        <v/>
      </c>
      <c r="N66" s="3" t="str">
        <f>IF(F66="","",F66*(1-Settings!$B$3))</f>
        <v/>
      </c>
      <c r="O66" s="3" t="str">
        <f>IF(E66="","",E66+Settings!$B$4)</f>
        <v/>
      </c>
      <c r="P66" s="3" t="str">
        <f t="shared" ref="P66:P129" si="13">IF(B66="","",IF(B66="Closed",K66,IF(H66="","",H66)))</f>
        <v/>
      </c>
      <c r="Q66" s="3" t="str">
        <f t="shared" ref="Q66:Q129" si="14">IF(OR(B66="",F66="",P66=""),"",P66/F66-1)</f>
        <v/>
      </c>
      <c r="R66" s="3" t="str">
        <f t="shared" ref="R66:R129" ca="1" si="15">IF(E66="","",IF(B66="Closed",J66-E66,TODAY()-E66))</f>
        <v/>
      </c>
      <c r="S66" s="3" t="str">
        <f t="shared" ref="S66:S129" ca="1" si="16">IF(I66="","",TODAY()-I66)</f>
        <v/>
      </c>
      <c r="T66" s="3" t="str">
        <f t="shared" ref="T66:T129" si="17">IF(OR(F66="",G66=""),"",F66*G66)</f>
        <v/>
      </c>
      <c r="U66" s="3" t="str">
        <f t="shared" ref="U66:U129" si="18">IF(OR(B66="",P66="",G66=""),"",P66*G66)</f>
        <v/>
      </c>
      <c r="V66" s="3" t="str">
        <f t="shared" ref="V66:V129" si="19">IF(OR(B66="",P66="",F66="",G66=""),"",(P66-F66)*G66)</f>
        <v/>
      </c>
      <c r="W66" s="3" t="str">
        <f t="shared" ref="W66:W129" ca="1" si="20">IF(B66="Closed","CLOSED",IF(B66&lt;&gt;"Open","",IF(H66="","ENTER CURRENT PRICE",IF(H66&gt;=M66,"SELL - TARGET",IF(H66&lt;=N66,"SELL - STOP",IF(TODAY()&gt;=O66,"SELL - TIME","HOLD"))))))</f>
        <v/>
      </c>
      <c r="X66" s="3" t="str">
        <f t="shared" ref="X66:X129" ca="1" si="21">IF(W66="","",IF(W66="HOLD","Monitor",IF(W66="ENTER CURRENT PRICE","Update price",IF(W66="CLOSED","No action","Review / sell"))))</f>
        <v/>
      </c>
      <c r="Y66" s="2"/>
    </row>
    <row r="67" spans="1:25">
      <c r="A67" s="3" t="str">
        <f t="shared" si="11"/>
        <v/>
      </c>
      <c r="B67" s="3" t="str">
        <f t="shared" si="12"/>
        <v/>
      </c>
      <c r="C67" s="2"/>
      <c r="D67" s="2"/>
      <c r="E67" s="2"/>
      <c r="F67" s="2"/>
      <c r="G67" s="2"/>
      <c r="H67" s="2"/>
      <c r="I67" s="2"/>
      <c r="J67" s="2"/>
      <c r="K67" s="2"/>
      <c r="L67" s="3" t="str">
        <f>IF(B67&lt;&gt;"Closed","",IF(K67&gt;=M67,"Target",IF(K67&lt;=N67,"Stop",IF(R67&gt;=Settings!$B$4,"Time","Manual"))))</f>
        <v/>
      </c>
      <c r="M67" s="3" t="str">
        <f>IF(F67="","",F67*(1+Settings!$B$2))</f>
        <v/>
      </c>
      <c r="N67" s="3" t="str">
        <f>IF(F67="","",F67*(1-Settings!$B$3))</f>
        <v/>
      </c>
      <c r="O67" s="3" t="str">
        <f>IF(E67="","",E67+Settings!$B$4)</f>
        <v/>
      </c>
      <c r="P67" s="3" t="str">
        <f t="shared" si="13"/>
        <v/>
      </c>
      <c r="Q67" s="3" t="str">
        <f t="shared" si="14"/>
        <v/>
      </c>
      <c r="R67" s="3" t="str">
        <f t="shared" ca="1" si="15"/>
        <v/>
      </c>
      <c r="S67" s="3" t="str">
        <f t="shared" ca="1" si="16"/>
        <v/>
      </c>
      <c r="T67" s="3" t="str">
        <f t="shared" si="17"/>
        <v/>
      </c>
      <c r="U67" s="3" t="str">
        <f t="shared" si="18"/>
        <v/>
      </c>
      <c r="V67" s="3" t="str">
        <f t="shared" si="19"/>
        <v/>
      </c>
      <c r="W67" s="3" t="str">
        <f t="shared" ca="1" si="20"/>
        <v/>
      </c>
      <c r="X67" s="3" t="str">
        <f t="shared" ca="1" si="21"/>
        <v/>
      </c>
      <c r="Y67" s="2"/>
    </row>
    <row r="68" spans="1:25">
      <c r="A68" s="3" t="str">
        <f t="shared" si="11"/>
        <v/>
      </c>
      <c r="B68" s="3" t="str">
        <f t="shared" si="12"/>
        <v/>
      </c>
      <c r="C68" s="2"/>
      <c r="D68" s="2"/>
      <c r="E68" s="2"/>
      <c r="F68" s="2"/>
      <c r="G68" s="2"/>
      <c r="H68" s="2"/>
      <c r="I68" s="2"/>
      <c r="J68" s="2"/>
      <c r="K68" s="2"/>
      <c r="L68" s="3" t="str">
        <f>IF(B68&lt;&gt;"Closed","",IF(K68&gt;=M68,"Target",IF(K68&lt;=N68,"Stop",IF(R68&gt;=Settings!$B$4,"Time","Manual"))))</f>
        <v/>
      </c>
      <c r="M68" s="3" t="str">
        <f>IF(F68="","",F68*(1+Settings!$B$2))</f>
        <v/>
      </c>
      <c r="N68" s="3" t="str">
        <f>IF(F68="","",F68*(1-Settings!$B$3))</f>
        <v/>
      </c>
      <c r="O68" s="3" t="str">
        <f>IF(E68="","",E68+Settings!$B$4)</f>
        <v/>
      </c>
      <c r="P68" s="3" t="str">
        <f t="shared" si="13"/>
        <v/>
      </c>
      <c r="Q68" s="3" t="str">
        <f t="shared" si="14"/>
        <v/>
      </c>
      <c r="R68" s="3" t="str">
        <f t="shared" ca="1" si="15"/>
        <v/>
      </c>
      <c r="S68" s="3" t="str">
        <f t="shared" ca="1" si="16"/>
        <v/>
      </c>
      <c r="T68" s="3" t="str">
        <f t="shared" si="17"/>
        <v/>
      </c>
      <c r="U68" s="3" t="str">
        <f t="shared" si="18"/>
        <v/>
      </c>
      <c r="V68" s="3" t="str">
        <f t="shared" si="19"/>
        <v/>
      </c>
      <c r="W68" s="3" t="str">
        <f t="shared" ca="1" si="20"/>
        <v/>
      </c>
      <c r="X68" s="3" t="str">
        <f t="shared" ca="1" si="21"/>
        <v/>
      </c>
      <c r="Y68" s="2"/>
    </row>
    <row r="69" spans="1:25">
      <c r="A69" s="3" t="str">
        <f t="shared" si="11"/>
        <v/>
      </c>
      <c r="B69" s="3" t="str">
        <f t="shared" si="12"/>
        <v/>
      </c>
      <c r="C69" s="2"/>
      <c r="D69" s="2"/>
      <c r="E69" s="2"/>
      <c r="F69" s="2"/>
      <c r="G69" s="2"/>
      <c r="H69" s="2"/>
      <c r="I69" s="2"/>
      <c r="J69" s="2"/>
      <c r="K69" s="2"/>
      <c r="L69" s="3" t="str">
        <f>IF(B69&lt;&gt;"Closed","",IF(K69&gt;=M69,"Target",IF(K69&lt;=N69,"Stop",IF(R69&gt;=Settings!$B$4,"Time","Manual"))))</f>
        <v/>
      </c>
      <c r="M69" s="3" t="str">
        <f>IF(F69="","",F69*(1+Settings!$B$2))</f>
        <v/>
      </c>
      <c r="N69" s="3" t="str">
        <f>IF(F69="","",F69*(1-Settings!$B$3))</f>
        <v/>
      </c>
      <c r="O69" s="3" t="str">
        <f>IF(E69="","",E69+Settings!$B$4)</f>
        <v/>
      </c>
      <c r="P69" s="3" t="str">
        <f t="shared" si="13"/>
        <v/>
      </c>
      <c r="Q69" s="3" t="str">
        <f t="shared" si="14"/>
        <v/>
      </c>
      <c r="R69" s="3" t="str">
        <f t="shared" ca="1" si="15"/>
        <v/>
      </c>
      <c r="S69" s="3" t="str">
        <f t="shared" ca="1" si="16"/>
        <v/>
      </c>
      <c r="T69" s="3" t="str">
        <f t="shared" si="17"/>
        <v/>
      </c>
      <c r="U69" s="3" t="str">
        <f t="shared" si="18"/>
        <v/>
      </c>
      <c r="V69" s="3" t="str">
        <f t="shared" si="19"/>
        <v/>
      </c>
      <c r="W69" s="3" t="str">
        <f t="shared" ca="1" si="20"/>
        <v/>
      </c>
      <c r="X69" s="3" t="str">
        <f t="shared" ca="1" si="21"/>
        <v/>
      </c>
      <c r="Y69" s="2"/>
    </row>
    <row r="70" spans="1:25">
      <c r="A70" s="3" t="str">
        <f t="shared" si="11"/>
        <v/>
      </c>
      <c r="B70" s="3" t="str">
        <f t="shared" si="12"/>
        <v/>
      </c>
      <c r="C70" s="2"/>
      <c r="D70" s="2"/>
      <c r="E70" s="2"/>
      <c r="F70" s="2"/>
      <c r="G70" s="2"/>
      <c r="H70" s="2"/>
      <c r="I70" s="2"/>
      <c r="J70" s="2"/>
      <c r="K70" s="2"/>
      <c r="L70" s="3" t="str">
        <f>IF(B70&lt;&gt;"Closed","",IF(K70&gt;=M70,"Target",IF(K70&lt;=N70,"Stop",IF(R70&gt;=Settings!$B$4,"Time","Manual"))))</f>
        <v/>
      </c>
      <c r="M70" s="3" t="str">
        <f>IF(F70="","",F70*(1+Settings!$B$2))</f>
        <v/>
      </c>
      <c r="N70" s="3" t="str">
        <f>IF(F70="","",F70*(1-Settings!$B$3))</f>
        <v/>
      </c>
      <c r="O70" s="3" t="str">
        <f>IF(E70="","",E70+Settings!$B$4)</f>
        <v/>
      </c>
      <c r="P70" s="3" t="str">
        <f t="shared" si="13"/>
        <v/>
      </c>
      <c r="Q70" s="3" t="str">
        <f t="shared" si="14"/>
        <v/>
      </c>
      <c r="R70" s="3" t="str">
        <f t="shared" ca="1" si="15"/>
        <v/>
      </c>
      <c r="S70" s="3" t="str">
        <f t="shared" ca="1" si="16"/>
        <v/>
      </c>
      <c r="T70" s="3" t="str">
        <f t="shared" si="17"/>
        <v/>
      </c>
      <c r="U70" s="3" t="str">
        <f t="shared" si="18"/>
        <v/>
      </c>
      <c r="V70" s="3" t="str">
        <f t="shared" si="19"/>
        <v/>
      </c>
      <c r="W70" s="3" t="str">
        <f t="shared" ca="1" si="20"/>
        <v/>
      </c>
      <c r="X70" s="3" t="str">
        <f t="shared" ca="1" si="21"/>
        <v/>
      </c>
      <c r="Y70" s="2"/>
    </row>
    <row r="71" spans="1:25">
      <c r="A71" s="3" t="str">
        <f t="shared" si="11"/>
        <v/>
      </c>
      <c r="B71" s="3" t="str">
        <f t="shared" si="12"/>
        <v/>
      </c>
      <c r="C71" s="2"/>
      <c r="D71" s="2"/>
      <c r="E71" s="2"/>
      <c r="F71" s="2"/>
      <c r="G71" s="2"/>
      <c r="H71" s="2"/>
      <c r="I71" s="2"/>
      <c r="J71" s="2"/>
      <c r="K71" s="2"/>
      <c r="L71" s="3" t="str">
        <f>IF(B71&lt;&gt;"Closed","",IF(K71&gt;=M71,"Target",IF(K71&lt;=N71,"Stop",IF(R71&gt;=Settings!$B$4,"Time","Manual"))))</f>
        <v/>
      </c>
      <c r="M71" s="3" t="str">
        <f>IF(F71="","",F71*(1+Settings!$B$2))</f>
        <v/>
      </c>
      <c r="N71" s="3" t="str">
        <f>IF(F71="","",F71*(1-Settings!$B$3))</f>
        <v/>
      </c>
      <c r="O71" s="3" t="str">
        <f>IF(E71="","",E71+Settings!$B$4)</f>
        <v/>
      </c>
      <c r="P71" s="3" t="str">
        <f t="shared" si="13"/>
        <v/>
      </c>
      <c r="Q71" s="3" t="str">
        <f t="shared" si="14"/>
        <v/>
      </c>
      <c r="R71" s="3" t="str">
        <f t="shared" ca="1" si="15"/>
        <v/>
      </c>
      <c r="S71" s="3" t="str">
        <f t="shared" ca="1" si="16"/>
        <v/>
      </c>
      <c r="T71" s="3" t="str">
        <f t="shared" si="17"/>
        <v/>
      </c>
      <c r="U71" s="3" t="str">
        <f t="shared" si="18"/>
        <v/>
      </c>
      <c r="V71" s="3" t="str">
        <f t="shared" si="19"/>
        <v/>
      </c>
      <c r="W71" s="3" t="str">
        <f t="shared" ca="1" si="20"/>
        <v/>
      </c>
      <c r="X71" s="3" t="str">
        <f t="shared" ca="1" si="21"/>
        <v/>
      </c>
      <c r="Y71" s="2"/>
    </row>
    <row r="72" spans="1:25">
      <c r="A72" s="3" t="str">
        <f t="shared" si="11"/>
        <v/>
      </c>
      <c r="B72" s="3" t="str">
        <f t="shared" si="12"/>
        <v/>
      </c>
      <c r="C72" s="2"/>
      <c r="D72" s="2"/>
      <c r="E72" s="2"/>
      <c r="F72" s="2"/>
      <c r="G72" s="2"/>
      <c r="H72" s="2"/>
      <c r="I72" s="2"/>
      <c r="J72" s="2"/>
      <c r="K72" s="2"/>
      <c r="L72" s="3" t="str">
        <f>IF(B72&lt;&gt;"Closed","",IF(K72&gt;=M72,"Target",IF(K72&lt;=N72,"Stop",IF(R72&gt;=Settings!$B$4,"Time","Manual"))))</f>
        <v/>
      </c>
      <c r="M72" s="3" t="str">
        <f>IF(F72="","",F72*(1+Settings!$B$2))</f>
        <v/>
      </c>
      <c r="N72" s="3" t="str">
        <f>IF(F72="","",F72*(1-Settings!$B$3))</f>
        <v/>
      </c>
      <c r="O72" s="3" t="str">
        <f>IF(E72="","",E72+Settings!$B$4)</f>
        <v/>
      </c>
      <c r="P72" s="3" t="str">
        <f t="shared" si="13"/>
        <v/>
      </c>
      <c r="Q72" s="3" t="str">
        <f t="shared" si="14"/>
        <v/>
      </c>
      <c r="R72" s="3" t="str">
        <f t="shared" ca="1" si="15"/>
        <v/>
      </c>
      <c r="S72" s="3" t="str">
        <f t="shared" ca="1" si="16"/>
        <v/>
      </c>
      <c r="T72" s="3" t="str">
        <f t="shared" si="17"/>
        <v/>
      </c>
      <c r="U72" s="3" t="str">
        <f t="shared" si="18"/>
        <v/>
      </c>
      <c r="V72" s="3" t="str">
        <f t="shared" si="19"/>
        <v/>
      </c>
      <c r="W72" s="3" t="str">
        <f t="shared" ca="1" si="20"/>
        <v/>
      </c>
      <c r="X72" s="3" t="str">
        <f t="shared" ca="1" si="21"/>
        <v/>
      </c>
      <c r="Y72" s="2"/>
    </row>
    <row r="73" spans="1:25">
      <c r="A73" s="3" t="str">
        <f t="shared" si="11"/>
        <v/>
      </c>
      <c r="B73" s="3" t="str">
        <f t="shared" si="12"/>
        <v/>
      </c>
      <c r="C73" s="2"/>
      <c r="D73" s="2"/>
      <c r="E73" s="2"/>
      <c r="F73" s="2"/>
      <c r="G73" s="2"/>
      <c r="H73" s="2"/>
      <c r="I73" s="2"/>
      <c r="J73" s="2"/>
      <c r="K73" s="2"/>
      <c r="L73" s="3" t="str">
        <f>IF(B73&lt;&gt;"Closed","",IF(K73&gt;=M73,"Target",IF(K73&lt;=N73,"Stop",IF(R73&gt;=Settings!$B$4,"Time","Manual"))))</f>
        <v/>
      </c>
      <c r="M73" s="3" t="str">
        <f>IF(F73="","",F73*(1+Settings!$B$2))</f>
        <v/>
      </c>
      <c r="N73" s="3" t="str">
        <f>IF(F73="","",F73*(1-Settings!$B$3))</f>
        <v/>
      </c>
      <c r="O73" s="3" t="str">
        <f>IF(E73="","",E73+Settings!$B$4)</f>
        <v/>
      </c>
      <c r="P73" s="3" t="str">
        <f t="shared" si="13"/>
        <v/>
      </c>
      <c r="Q73" s="3" t="str">
        <f t="shared" si="14"/>
        <v/>
      </c>
      <c r="R73" s="3" t="str">
        <f t="shared" ca="1" si="15"/>
        <v/>
      </c>
      <c r="S73" s="3" t="str">
        <f t="shared" ca="1" si="16"/>
        <v/>
      </c>
      <c r="T73" s="3" t="str">
        <f t="shared" si="17"/>
        <v/>
      </c>
      <c r="U73" s="3" t="str">
        <f t="shared" si="18"/>
        <v/>
      </c>
      <c r="V73" s="3" t="str">
        <f t="shared" si="19"/>
        <v/>
      </c>
      <c r="W73" s="3" t="str">
        <f t="shared" ca="1" si="20"/>
        <v/>
      </c>
      <c r="X73" s="3" t="str">
        <f t="shared" ca="1" si="21"/>
        <v/>
      </c>
      <c r="Y73" s="2"/>
    </row>
    <row r="74" spans="1:25">
      <c r="A74" s="3" t="str">
        <f t="shared" si="11"/>
        <v/>
      </c>
      <c r="B74" s="3" t="str">
        <f t="shared" si="12"/>
        <v/>
      </c>
      <c r="C74" s="2"/>
      <c r="D74" s="2"/>
      <c r="E74" s="2"/>
      <c r="F74" s="2"/>
      <c r="G74" s="2"/>
      <c r="H74" s="2"/>
      <c r="I74" s="2"/>
      <c r="J74" s="2"/>
      <c r="K74" s="2"/>
      <c r="L74" s="3" t="str">
        <f>IF(B74&lt;&gt;"Closed","",IF(K74&gt;=M74,"Target",IF(K74&lt;=N74,"Stop",IF(R74&gt;=Settings!$B$4,"Time","Manual"))))</f>
        <v/>
      </c>
      <c r="M74" s="3" t="str">
        <f>IF(F74="","",F74*(1+Settings!$B$2))</f>
        <v/>
      </c>
      <c r="N74" s="3" t="str">
        <f>IF(F74="","",F74*(1-Settings!$B$3))</f>
        <v/>
      </c>
      <c r="O74" s="3" t="str">
        <f>IF(E74="","",E74+Settings!$B$4)</f>
        <v/>
      </c>
      <c r="P74" s="3" t="str">
        <f t="shared" si="13"/>
        <v/>
      </c>
      <c r="Q74" s="3" t="str">
        <f t="shared" si="14"/>
        <v/>
      </c>
      <c r="R74" s="3" t="str">
        <f t="shared" ca="1" si="15"/>
        <v/>
      </c>
      <c r="S74" s="3" t="str">
        <f t="shared" ca="1" si="16"/>
        <v/>
      </c>
      <c r="T74" s="3" t="str">
        <f t="shared" si="17"/>
        <v/>
      </c>
      <c r="U74" s="3" t="str">
        <f t="shared" si="18"/>
        <v/>
      </c>
      <c r="V74" s="3" t="str">
        <f t="shared" si="19"/>
        <v/>
      </c>
      <c r="W74" s="3" t="str">
        <f t="shared" ca="1" si="20"/>
        <v/>
      </c>
      <c r="X74" s="3" t="str">
        <f t="shared" ca="1" si="21"/>
        <v/>
      </c>
      <c r="Y74" s="2"/>
    </row>
    <row r="75" spans="1:25">
      <c r="A75" s="3" t="str">
        <f t="shared" si="11"/>
        <v/>
      </c>
      <c r="B75" s="3" t="str">
        <f t="shared" si="12"/>
        <v/>
      </c>
      <c r="C75" s="2"/>
      <c r="D75" s="2"/>
      <c r="E75" s="2"/>
      <c r="F75" s="2"/>
      <c r="G75" s="2"/>
      <c r="H75" s="2"/>
      <c r="I75" s="2"/>
      <c r="J75" s="2"/>
      <c r="K75" s="2"/>
      <c r="L75" s="3" t="str">
        <f>IF(B75&lt;&gt;"Closed","",IF(K75&gt;=M75,"Target",IF(K75&lt;=N75,"Stop",IF(R75&gt;=Settings!$B$4,"Time","Manual"))))</f>
        <v/>
      </c>
      <c r="M75" s="3" t="str">
        <f>IF(F75="","",F75*(1+Settings!$B$2))</f>
        <v/>
      </c>
      <c r="N75" s="3" t="str">
        <f>IF(F75="","",F75*(1-Settings!$B$3))</f>
        <v/>
      </c>
      <c r="O75" s="3" t="str">
        <f>IF(E75="","",E75+Settings!$B$4)</f>
        <v/>
      </c>
      <c r="P75" s="3" t="str">
        <f t="shared" si="13"/>
        <v/>
      </c>
      <c r="Q75" s="3" t="str">
        <f t="shared" si="14"/>
        <v/>
      </c>
      <c r="R75" s="3" t="str">
        <f t="shared" ca="1" si="15"/>
        <v/>
      </c>
      <c r="S75" s="3" t="str">
        <f t="shared" ca="1" si="16"/>
        <v/>
      </c>
      <c r="T75" s="3" t="str">
        <f t="shared" si="17"/>
        <v/>
      </c>
      <c r="U75" s="3" t="str">
        <f t="shared" si="18"/>
        <v/>
      </c>
      <c r="V75" s="3" t="str">
        <f t="shared" si="19"/>
        <v/>
      </c>
      <c r="W75" s="3" t="str">
        <f t="shared" ca="1" si="20"/>
        <v/>
      </c>
      <c r="X75" s="3" t="str">
        <f t="shared" ca="1" si="21"/>
        <v/>
      </c>
      <c r="Y75" s="2"/>
    </row>
    <row r="76" spans="1:25">
      <c r="A76" s="3" t="str">
        <f t="shared" si="11"/>
        <v/>
      </c>
      <c r="B76" s="3" t="str">
        <f t="shared" si="12"/>
        <v/>
      </c>
      <c r="C76" s="2"/>
      <c r="D76" s="2"/>
      <c r="E76" s="2"/>
      <c r="F76" s="2"/>
      <c r="G76" s="2"/>
      <c r="H76" s="2"/>
      <c r="I76" s="2"/>
      <c r="J76" s="2"/>
      <c r="K76" s="2"/>
      <c r="L76" s="3" t="str">
        <f>IF(B76&lt;&gt;"Closed","",IF(K76&gt;=M76,"Target",IF(K76&lt;=N76,"Stop",IF(R76&gt;=Settings!$B$4,"Time","Manual"))))</f>
        <v/>
      </c>
      <c r="M76" s="3" t="str">
        <f>IF(F76="","",F76*(1+Settings!$B$2))</f>
        <v/>
      </c>
      <c r="N76" s="3" t="str">
        <f>IF(F76="","",F76*(1-Settings!$B$3))</f>
        <v/>
      </c>
      <c r="O76" s="3" t="str">
        <f>IF(E76="","",E76+Settings!$B$4)</f>
        <v/>
      </c>
      <c r="P76" s="3" t="str">
        <f t="shared" si="13"/>
        <v/>
      </c>
      <c r="Q76" s="3" t="str">
        <f t="shared" si="14"/>
        <v/>
      </c>
      <c r="R76" s="3" t="str">
        <f t="shared" ca="1" si="15"/>
        <v/>
      </c>
      <c r="S76" s="3" t="str">
        <f t="shared" ca="1" si="16"/>
        <v/>
      </c>
      <c r="T76" s="3" t="str">
        <f t="shared" si="17"/>
        <v/>
      </c>
      <c r="U76" s="3" t="str">
        <f t="shared" si="18"/>
        <v/>
      </c>
      <c r="V76" s="3" t="str">
        <f t="shared" si="19"/>
        <v/>
      </c>
      <c r="W76" s="3" t="str">
        <f t="shared" ca="1" si="20"/>
        <v/>
      </c>
      <c r="X76" s="3" t="str">
        <f t="shared" ca="1" si="21"/>
        <v/>
      </c>
      <c r="Y76" s="2"/>
    </row>
    <row r="77" spans="1:25">
      <c r="A77" s="3" t="str">
        <f t="shared" si="11"/>
        <v/>
      </c>
      <c r="B77" s="3" t="str">
        <f t="shared" si="12"/>
        <v/>
      </c>
      <c r="C77" s="2"/>
      <c r="D77" s="2"/>
      <c r="E77" s="2"/>
      <c r="F77" s="2"/>
      <c r="G77" s="2"/>
      <c r="H77" s="2"/>
      <c r="I77" s="2"/>
      <c r="J77" s="2"/>
      <c r="K77" s="2"/>
      <c r="L77" s="3" t="str">
        <f>IF(B77&lt;&gt;"Closed","",IF(K77&gt;=M77,"Target",IF(K77&lt;=N77,"Stop",IF(R77&gt;=Settings!$B$4,"Time","Manual"))))</f>
        <v/>
      </c>
      <c r="M77" s="3" t="str">
        <f>IF(F77="","",F77*(1+Settings!$B$2))</f>
        <v/>
      </c>
      <c r="N77" s="3" t="str">
        <f>IF(F77="","",F77*(1-Settings!$B$3))</f>
        <v/>
      </c>
      <c r="O77" s="3" t="str">
        <f>IF(E77="","",E77+Settings!$B$4)</f>
        <v/>
      </c>
      <c r="P77" s="3" t="str">
        <f t="shared" si="13"/>
        <v/>
      </c>
      <c r="Q77" s="3" t="str">
        <f t="shared" si="14"/>
        <v/>
      </c>
      <c r="R77" s="3" t="str">
        <f t="shared" ca="1" si="15"/>
        <v/>
      </c>
      <c r="S77" s="3" t="str">
        <f t="shared" ca="1" si="16"/>
        <v/>
      </c>
      <c r="T77" s="3" t="str">
        <f t="shared" si="17"/>
        <v/>
      </c>
      <c r="U77" s="3" t="str">
        <f t="shared" si="18"/>
        <v/>
      </c>
      <c r="V77" s="3" t="str">
        <f t="shared" si="19"/>
        <v/>
      </c>
      <c r="W77" s="3" t="str">
        <f t="shared" ca="1" si="20"/>
        <v/>
      </c>
      <c r="X77" s="3" t="str">
        <f t="shared" ca="1" si="21"/>
        <v/>
      </c>
      <c r="Y77" s="2"/>
    </row>
    <row r="78" spans="1:25">
      <c r="A78" s="3" t="str">
        <f t="shared" si="11"/>
        <v/>
      </c>
      <c r="B78" s="3" t="str">
        <f t="shared" si="12"/>
        <v/>
      </c>
      <c r="C78" s="2"/>
      <c r="D78" s="2"/>
      <c r="E78" s="2"/>
      <c r="F78" s="2"/>
      <c r="G78" s="2"/>
      <c r="H78" s="2"/>
      <c r="I78" s="2"/>
      <c r="J78" s="2"/>
      <c r="K78" s="2"/>
      <c r="L78" s="3" t="str">
        <f>IF(B78&lt;&gt;"Closed","",IF(K78&gt;=M78,"Target",IF(K78&lt;=N78,"Stop",IF(R78&gt;=Settings!$B$4,"Time","Manual"))))</f>
        <v/>
      </c>
      <c r="M78" s="3" t="str">
        <f>IF(F78="","",F78*(1+Settings!$B$2))</f>
        <v/>
      </c>
      <c r="N78" s="3" t="str">
        <f>IF(F78="","",F78*(1-Settings!$B$3))</f>
        <v/>
      </c>
      <c r="O78" s="3" t="str">
        <f>IF(E78="","",E78+Settings!$B$4)</f>
        <v/>
      </c>
      <c r="P78" s="3" t="str">
        <f t="shared" si="13"/>
        <v/>
      </c>
      <c r="Q78" s="3" t="str">
        <f t="shared" si="14"/>
        <v/>
      </c>
      <c r="R78" s="3" t="str">
        <f t="shared" ca="1" si="15"/>
        <v/>
      </c>
      <c r="S78" s="3" t="str">
        <f t="shared" ca="1" si="16"/>
        <v/>
      </c>
      <c r="T78" s="3" t="str">
        <f t="shared" si="17"/>
        <v/>
      </c>
      <c r="U78" s="3" t="str">
        <f t="shared" si="18"/>
        <v/>
      </c>
      <c r="V78" s="3" t="str">
        <f t="shared" si="19"/>
        <v/>
      </c>
      <c r="W78" s="3" t="str">
        <f t="shared" ca="1" si="20"/>
        <v/>
      </c>
      <c r="X78" s="3" t="str">
        <f t="shared" ca="1" si="21"/>
        <v/>
      </c>
      <c r="Y78" s="2"/>
    </row>
    <row r="79" spans="1:25">
      <c r="A79" s="3" t="str">
        <f t="shared" si="11"/>
        <v/>
      </c>
      <c r="B79" s="3" t="str">
        <f t="shared" si="12"/>
        <v/>
      </c>
      <c r="C79" s="2"/>
      <c r="D79" s="2"/>
      <c r="E79" s="2"/>
      <c r="F79" s="2"/>
      <c r="G79" s="2"/>
      <c r="H79" s="2"/>
      <c r="I79" s="2"/>
      <c r="J79" s="2"/>
      <c r="K79" s="2"/>
      <c r="L79" s="3" t="str">
        <f>IF(B79&lt;&gt;"Closed","",IF(K79&gt;=M79,"Target",IF(K79&lt;=N79,"Stop",IF(R79&gt;=Settings!$B$4,"Time","Manual"))))</f>
        <v/>
      </c>
      <c r="M79" s="3" t="str">
        <f>IF(F79="","",F79*(1+Settings!$B$2))</f>
        <v/>
      </c>
      <c r="N79" s="3" t="str">
        <f>IF(F79="","",F79*(1-Settings!$B$3))</f>
        <v/>
      </c>
      <c r="O79" s="3" t="str">
        <f>IF(E79="","",E79+Settings!$B$4)</f>
        <v/>
      </c>
      <c r="P79" s="3" t="str">
        <f t="shared" si="13"/>
        <v/>
      </c>
      <c r="Q79" s="3" t="str">
        <f t="shared" si="14"/>
        <v/>
      </c>
      <c r="R79" s="3" t="str">
        <f t="shared" ca="1" si="15"/>
        <v/>
      </c>
      <c r="S79" s="3" t="str">
        <f t="shared" ca="1" si="16"/>
        <v/>
      </c>
      <c r="T79" s="3" t="str">
        <f t="shared" si="17"/>
        <v/>
      </c>
      <c r="U79" s="3" t="str">
        <f t="shared" si="18"/>
        <v/>
      </c>
      <c r="V79" s="3" t="str">
        <f t="shared" si="19"/>
        <v/>
      </c>
      <c r="W79" s="3" t="str">
        <f t="shared" ca="1" si="20"/>
        <v/>
      </c>
      <c r="X79" s="3" t="str">
        <f t="shared" ca="1" si="21"/>
        <v/>
      </c>
      <c r="Y79" s="2"/>
    </row>
    <row r="80" spans="1:25">
      <c r="A80" s="3" t="str">
        <f t="shared" si="11"/>
        <v/>
      </c>
      <c r="B80" s="3" t="str">
        <f t="shared" si="12"/>
        <v/>
      </c>
      <c r="C80" s="2"/>
      <c r="D80" s="2"/>
      <c r="E80" s="2"/>
      <c r="F80" s="2"/>
      <c r="G80" s="2"/>
      <c r="H80" s="2"/>
      <c r="I80" s="2"/>
      <c r="J80" s="2"/>
      <c r="K80" s="2"/>
      <c r="L80" s="3" t="str">
        <f>IF(B80&lt;&gt;"Closed","",IF(K80&gt;=M80,"Target",IF(K80&lt;=N80,"Stop",IF(R80&gt;=Settings!$B$4,"Time","Manual"))))</f>
        <v/>
      </c>
      <c r="M80" s="3" t="str">
        <f>IF(F80="","",F80*(1+Settings!$B$2))</f>
        <v/>
      </c>
      <c r="N80" s="3" t="str">
        <f>IF(F80="","",F80*(1-Settings!$B$3))</f>
        <v/>
      </c>
      <c r="O80" s="3" t="str">
        <f>IF(E80="","",E80+Settings!$B$4)</f>
        <v/>
      </c>
      <c r="P80" s="3" t="str">
        <f t="shared" si="13"/>
        <v/>
      </c>
      <c r="Q80" s="3" t="str">
        <f t="shared" si="14"/>
        <v/>
      </c>
      <c r="R80" s="3" t="str">
        <f t="shared" ca="1" si="15"/>
        <v/>
      </c>
      <c r="S80" s="3" t="str">
        <f t="shared" ca="1" si="16"/>
        <v/>
      </c>
      <c r="T80" s="3" t="str">
        <f t="shared" si="17"/>
        <v/>
      </c>
      <c r="U80" s="3" t="str">
        <f t="shared" si="18"/>
        <v/>
      </c>
      <c r="V80" s="3" t="str">
        <f t="shared" si="19"/>
        <v/>
      </c>
      <c r="W80" s="3" t="str">
        <f t="shared" ca="1" si="20"/>
        <v/>
      </c>
      <c r="X80" s="3" t="str">
        <f t="shared" ca="1" si="21"/>
        <v/>
      </c>
      <c r="Y80" s="2"/>
    </row>
    <row r="81" spans="1:25">
      <c r="A81" s="3" t="str">
        <f t="shared" si="11"/>
        <v/>
      </c>
      <c r="B81" s="3" t="str">
        <f t="shared" si="12"/>
        <v/>
      </c>
      <c r="C81" s="2"/>
      <c r="D81" s="2"/>
      <c r="E81" s="2"/>
      <c r="F81" s="2"/>
      <c r="G81" s="2"/>
      <c r="H81" s="2"/>
      <c r="I81" s="2"/>
      <c r="J81" s="2"/>
      <c r="K81" s="2"/>
      <c r="L81" s="3" t="str">
        <f>IF(B81&lt;&gt;"Closed","",IF(K81&gt;=M81,"Target",IF(K81&lt;=N81,"Stop",IF(R81&gt;=Settings!$B$4,"Time","Manual"))))</f>
        <v/>
      </c>
      <c r="M81" s="3" t="str">
        <f>IF(F81="","",F81*(1+Settings!$B$2))</f>
        <v/>
      </c>
      <c r="N81" s="3" t="str">
        <f>IF(F81="","",F81*(1-Settings!$B$3))</f>
        <v/>
      </c>
      <c r="O81" s="3" t="str">
        <f>IF(E81="","",E81+Settings!$B$4)</f>
        <v/>
      </c>
      <c r="P81" s="3" t="str">
        <f t="shared" si="13"/>
        <v/>
      </c>
      <c r="Q81" s="3" t="str">
        <f t="shared" si="14"/>
        <v/>
      </c>
      <c r="R81" s="3" t="str">
        <f t="shared" ca="1" si="15"/>
        <v/>
      </c>
      <c r="S81" s="3" t="str">
        <f t="shared" ca="1" si="16"/>
        <v/>
      </c>
      <c r="T81" s="3" t="str">
        <f t="shared" si="17"/>
        <v/>
      </c>
      <c r="U81" s="3" t="str">
        <f t="shared" si="18"/>
        <v/>
      </c>
      <c r="V81" s="3" t="str">
        <f t="shared" si="19"/>
        <v/>
      </c>
      <c r="W81" s="3" t="str">
        <f t="shared" ca="1" si="20"/>
        <v/>
      </c>
      <c r="X81" s="3" t="str">
        <f t="shared" ca="1" si="21"/>
        <v/>
      </c>
      <c r="Y81" s="2"/>
    </row>
    <row r="82" spans="1:25">
      <c r="A82" s="3" t="str">
        <f t="shared" si="11"/>
        <v/>
      </c>
      <c r="B82" s="3" t="str">
        <f t="shared" si="12"/>
        <v/>
      </c>
      <c r="C82" s="2"/>
      <c r="D82" s="2"/>
      <c r="E82" s="2"/>
      <c r="F82" s="2"/>
      <c r="G82" s="2"/>
      <c r="H82" s="2"/>
      <c r="I82" s="2"/>
      <c r="J82" s="2"/>
      <c r="K82" s="2"/>
      <c r="L82" s="3" t="str">
        <f>IF(B82&lt;&gt;"Closed","",IF(K82&gt;=M82,"Target",IF(K82&lt;=N82,"Stop",IF(R82&gt;=Settings!$B$4,"Time","Manual"))))</f>
        <v/>
      </c>
      <c r="M82" s="3" t="str">
        <f>IF(F82="","",F82*(1+Settings!$B$2))</f>
        <v/>
      </c>
      <c r="N82" s="3" t="str">
        <f>IF(F82="","",F82*(1-Settings!$B$3))</f>
        <v/>
      </c>
      <c r="O82" s="3" t="str">
        <f>IF(E82="","",E82+Settings!$B$4)</f>
        <v/>
      </c>
      <c r="P82" s="3" t="str">
        <f t="shared" si="13"/>
        <v/>
      </c>
      <c r="Q82" s="3" t="str">
        <f t="shared" si="14"/>
        <v/>
      </c>
      <c r="R82" s="3" t="str">
        <f t="shared" ca="1" si="15"/>
        <v/>
      </c>
      <c r="S82" s="3" t="str">
        <f t="shared" ca="1" si="16"/>
        <v/>
      </c>
      <c r="T82" s="3" t="str">
        <f t="shared" si="17"/>
        <v/>
      </c>
      <c r="U82" s="3" t="str">
        <f t="shared" si="18"/>
        <v/>
      </c>
      <c r="V82" s="3" t="str">
        <f t="shared" si="19"/>
        <v/>
      </c>
      <c r="W82" s="3" t="str">
        <f t="shared" ca="1" si="20"/>
        <v/>
      </c>
      <c r="X82" s="3" t="str">
        <f t="shared" ca="1" si="21"/>
        <v/>
      </c>
      <c r="Y82" s="2"/>
    </row>
    <row r="83" spans="1:25">
      <c r="A83" s="3" t="str">
        <f t="shared" si="11"/>
        <v/>
      </c>
      <c r="B83" s="3" t="str">
        <f t="shared" si="12"/>
        <v/>
      </c>
      <c r="C83" s="2"/>
      <c r="D83" s="2"/>
      <c r="E83" s="2"/>
      <c r="F83" s="2"/>
      <c r="G83" s="2"/>
      <c r="H83" s="2"/>
      <c r="I83" s="2"/>
      <c r="J83" s="2"/>
      <c r="K83" s="2"/>
      <c r="L83" s="3" t="str">
        <f>IF(B83&lt;&gt;"Closed","",IF(K83&gt;=M83,"Target",IF(K83&lt;=N83,"Stop",IF(R83&gt;=Settings!$B$4,"Time","Manual"))))</f>
        <v/>
      </c>
      <c r="M83" s="3" t="str">
        <f>IF(F83="","",F83*(1+Settings!$B$2))</f>
        <v/>
      </c>
      <c r="N83" s="3" t="str">
        <f>IF(F83="","",F83*(1-Settings!$B$3))</f>
        <v/>
      </c>
      <c r="O83" s="3" t="str">
        <f>IF(E83="","",E83+Settings!$B$4)</f>
        <v/>
      </c>
      <c r="P83" s="3" t="str">
        <f t="shared" si="13"/>
        <v/>
      </c>
      <c r="Q83" s="3" t="str">
        <f t="shared" si="14"/>
        <v/>
      </c>
      <c r="R83" s="3" t="str">
        <f t="shared" ca="1" si="15"/>
        <v/>
      </c>
      <c r="S83" s="3" t="str">
        <f t="shared" ca="1" si="16"/>
        <v/>
      </c>
      <c r="T83" s="3" t="str">
        <f t="shared" si="17"/>
        <v/>
      </c>
      <c r="U83" s="3" t="str">
        <f t="shared" si="18"/>
        <v/>
      </c>
      <c r="V83" s="3" t="str">
        <f t="shared" si="19"/>
        <v/>
      </c>
      <c r="W83" s="3" t="str">
        <f t="shared" ca="1" si="20"/>
        <v/>
      </c>
      <c r="X83" s="3" t="str">
        <f t="shared" ca="1" si="21"/>
        <v/>
      </c>
      <c r="Y83" s="2"/>
    </row>
    <row r="84" spans="1:25">
      <c r="A84" s="3" t="str">
        <f t="shared" si="11"/>
        <v/>
      </c>
      <c r="B84" s="3" t="str">
        <f t="shared" si="12"/>
        <v/>
      </c>
      <c r="C84" s="2"/>
      <c r="D84" s="2"/>
      <c r="E84" s="2"/>
      <c r="F84" s="2"/>
      <c r="G84" s="2"/>
      <c r="H84" s="2"/>
      <c r="I84" s="2"/>
      <c r="J84" s="2"/>
      <c r="K84" s="2"/>
      <c r="L84" s="3" t="str">
        <f>IF(B84&lt;&gt;"Closed","",IF(K84&gt;=M84,"Target",IF(K84&lt;=N84,"Stop",IF(R84&gt;=Settings!$B$4,"Time","Manual"))))</f>
        <v/>
      </c>
      <c r="M84" s="3" t="str">
        <f>IF(F84="","",F84*(1+Settings!$B$2))</f>
        <v/>
      </c>
      <c r="N84" s="3" t="str">
        <f>IF(F84="","",F84*(1-Settings!$B$3))</f>
        <v/>
      </c>
      <c r="O84" s="3" t="str">
        <f>IF(E84="","",E84+Settings!$B$4)</f>
        <v/>
      </c>
      <c r="P84" s="3" t="str">
        <f t="shared" si="13"/>
        <v/>
      </c>
      <c r="Q84" s="3" t="str">
        <f t="shared" si="14"/>
        <v/>
      </c>
      <c r="R84" s="3" t="str">
        <f t="shared" ca="1" si="15"/>
        <v/>
      </c>
      <c r="S84" s="3" t="str">
        <f t="shared" ca="1" si="16"/>
        <v/>
      </c>
      <c r="T84" s="3" t="str">
        <f t="shared" si="17"/>
        <v/>
      </c>
      <c r="U84" s="3" t="str">
        <f t="shared" si="18"/>
        <v/>
      </c>
      <c r="V84" s="3" t="str">
        <f t="shared" si="19"/>
        <v/>
      </c>
      <c r="W84" s="3" t="str">
        <f t="shared" ca="1" si="20"/>
        <v/>
      </c>
      <c r="X84" s="3" t="str">
        <f t="shared" ca="1" si="21"/>
        <v/>
      </c>
      <c r="Y84" s="2"/>
    </row>
    <row r="85" spans="1:25">
      <c r="A85" s="3" t="str">
        <f t="shared" si="11"/>
        <v/>
      </c>
      <c r="B85" s="3" t="str">
        <f t="shared" si="12"/>
        <v/>
      </c>
      <c r="C85" s="2"/>
      <c r="D85" s="2"/>
      <c r="E85" s="2"/>
      <c r="F85" s="2"/>
      <c r="G85" s="2"/>
      <c r="H85" s="2"/>
      <c r="I85" s="2"/>
      <c r="J85" s="2"/>
      <c r="K85" s="2"/>
      <c r="L85" s="3" t="str">
        <f>IF(B85&lt;&gt;"Closed","",IF(K85&gt;=M85,"Target",IF(K85&lt;=N85,"Stop",IF(R85&gt;=Settings!$B$4,"Time","Manual"))))</f>
        <v/>
      </c>
      <c r="M85" s="3" t="str">
        <f>IF(F85="","",F85*(1+Settings!$B$2))</f>
        <v/>
      </c>
      <c r="N85" s="3" t="str">
        <f>IF(F85="","",F85*(1-Settings!$B$3))</f>
        <v/>
      </c>
      <c r="O85" s="3" t="str">
        <f>IF(E85="","",E85+Settings!$B$4)</f>
        <v/>
      </c>
      <c r="P85" s="3" t="str">
        <f t="shared" si="13"/>
        <v/>
      </c>
      <c r="Q85" s="3" t="str">
        <f t="shared" si="14"/>
        <v/>
      </c>
      <c r="R85" s="3" t="str">
        <f t="shared" ca="1" si="15"/>
        <v/>
      </c>
      <c r="S85" s="3" t="str">
        <f t="shared" ca="1" si="16"/>
        <v/>
      </c>
      <c r="T85" s="3" t="str">
        <f t="shared" si="17"/>
        <v/>
      </c>
      <c r="U85" s="3" t="str">
        <f t="shared" si="18"/>
        <v/>
      </c>
      <c r="V85" s="3" t="str">
        <f t="shared" si="19"/>
        <v/>
      </c>
      <c r="W85" s="3" t="str">
        <f t="shared" ca="1" si="20"/>
        <v/>
      </c>
      <c r="X85" s="3" t="str">
        <f t="shared" ca="1" si="21"/>
        <v/>
      </c>
      <c r="Y85" s="2"/>
    </row>
    <row r="86" spans="1:25">
      <c r="A86" s="3" t="str">
        <f t="shared" si="11"/>
        <v/>
      </c>
      <c r="B86" s="3" t="str">
        <f t="shared" si="12"/>
        <v/>
      </c>
      <c r="C86" s="2"/>
      <c r="D86" s="2"/>
      <c r="E86" s="2"/>
      <c r="F86" s="2"/>
      <c r="G86" s="2"/>
      <c r="H86" s="2"/>
      <c r="I86" s="2"/>
      <c r="J86" s="2"/>
      <c r="K86" s="2"/>
      <c r="L86" s="3" t="str">
        <f>IF(B86&lt;&gt;"Closed","",IF(K86&gt;=M86,"Target",IF(K86&lt;=N86,"Stop",IF(R86&gt;=Settings!$B$4,"Time","Manual"))))</f>
        <v/>
      </c>
      <c r="M86" s="3" t="str">
        <f>IF(F86="","",F86*(1+Settings!$B$2))</f>
        <v/>
      </c>
      <c r="N86" s="3" t="str">
        <f>IF(F86="","",F86*(1-Settings!$B$3))</f>
        <v/>
      </c>
      <c r="O86" s="3" t="str">
        <f>IF(E86="","",E86+Settings!$B$4)</f>
        <v/>
      </c>
      <c r="P86" s="3" t="str">
        <f t="shared" si="13"/>
        <v/>
      </c>
      <c r="Q86" s="3" t="str">
        <f t="shared" si="14"/>
        <v/>
      </c>
      <c r="R86" s="3" t="str">
        <f t="shared" ca="1" si="15"/>
        <v/>
      </c>
      <c r="S86" s="3" t="str">
        <f t="shared" ca="1" si="16"/>
        <v/>
      </c>
      <c r="T86" s="3" t="str">
        <f t="shared" si="17"/>
        <v/>
      </c>
      <c r="U86" s="3" t="str">
        <f t="shared" si="18"/>
        <v/>
      </c>
      <c r="V86" s="3" t="str">
        <f t="shared" si="19"/>
        <v/>
      </c>
      <c r="W86" s="3" t="str">
        <f t="shared" ca="1" si="20"/>
        <v/>
      </c>
      <c r="X86" s="3" t="str">
        <f t="shared" ca="1" si="21"/>
        <v/>
      </c>
      <c r="Y86" s="2"/>
    </row>
    <row r="87" spans="1:25">
      <c r="A87" s="3" t="str">
        <f t="shared" si="11"/>
        <v/>
      </c>
      <c r="B87" s="3" t="str">
        <f t="shared" si="12"/>
        <v/>
      </c>
      <c r="C87" s="2"/>
      <c r="D87" s="2"/>
      <c r="E87" s="2"/>
      <c r="F87" s="2"/>
      <c r="G87" s="2"/>
      <c r="H87" s="2"/>
      <c r="I87" s="2"/>
      <c r="J87" s="2"/>
      <c r="K87" s="2"/>
      <c r="L87" s="3" t="str">
        <f>IF(B87&lt;&gt;"Closed","",IF(K87&gt;=M87,"Target",IF(K87&lt;=N87,"Stop",IF(R87&gt;=Settings!$B$4,"Time","Manual"))))</f>
        <v/>
      </c>
      <c r="M87" s="3" t="str">
        <f>IF(F87="","",F87*(1+Settings!$B$2))</f>
        <v/>
      </c>
      <c r="N87" s="3" t="str">
        <f>IF(F87="","",F87*(1-Settings!$B$3))</f>
        <v/>
      </c>
      <c r="O87" s="3" t="str">
        <f>IF(E87="","",E87+Settings!$B$4)</f>
        <v/>
      </c>
      <c r="P87" s="3" t="str">
        <f t="shared" si="13"/>
        <v/>
      </c>
      <c r="Q87" s="3" t="str">
        <f t="shared" si="14"/>
        <v/>
      </c>
      <c r="R87" s="3" t="str">
        <f t="shared" ca="1" si="15"/>
        <v/>
      </c>
      <c r="S87" s="3" t="str">
        <f t="shared" ca="1" si="16"/>
        <v/>
      </c>
      <c r="T87" s="3" t="str">
        <f t="shared" si="17"/>
        <v/>
      </c>
      <c r="U87" s="3" t="str">
        <f t="shared" si="18"/>
        <v/>
      </c>
      <c r="V87" s="3" t="str">
        <f t="shared" si="19"/>
        <v/>
      </c>
      <c r="W87" s="3" t="str">
        <f t="shared" ca="1" si="20"/>
        <v/>
      </c>
      <c r="X87" s="3" t="str">
        <f t="shared" ca="1" si="21"/>
        <v/>
      </c>
      <c r="Y87" s="2"/>
    </row>
    <row r="88" spans="1:25">
      <c r="A88" s="3" t="str">
        <f t="shared" si="11"/>
        <v/>
      </c>
      <c r="B88" s="3" t="str">
        <f t="shared" si="12"/>
        <v/>
      </c>
      <c r="C88" s="2"/>
      <c r="D88" s="2"/>
      <c r="E88" s="2"/>
      <c r="F88" s="2"/>
      <c r="G88" s="2"/>
      <c r="H88" s="2"/>
      <c r="I88" s="2"/>
      <c r="J88" s="2"/>
      <c r="K88" s="2"/>
      <c r="L88" s="3" t="str">
        <f>IF(B88&lt;&gt;"Closed","",IF(K88&gt;=M88,"Target",IF(K88&lt;=N88,"Stop",IF(R88&gt;=Settings!$B$4,"Time","Manual"))))</f>
        <v/>
      </c>
      <c r="M88" s="3" t="str">
        <f>IF(F88="","",F88*(1+Settings!$B$2))</f>
        <v/>
      </c>
      <c r="N88" s="3" t="str">
        <f>IF(F88="","",F88*(1-Settings!$B$3))</f>
        <v/>
      </c>
      <c r="O88" s="3" t="str">
        <f>IF(E88="","",E88+Settings!$B$4)</f>
        <v/>
      </c>
      <c r="P88" s="3" t="str">
        <f t="shared" si="13"/>
        <v/>
      </c>
      <c r="Q88" s="3" t="str">
        <f t="shared" si="14"/>
        <v/>
      </c>
      <c r="R88" s="3" t="str">
        <f t="shared" ca="1" si="15"/>
        <v/>
      </c>
      <c r="S88" s="3" t="str">
        <f t="shared" ca="1" si="16"/>
        <v/>
      </c>
      <c r="T88" s="3" t="str">
        <f t="shared" si="17"/>
        <v/>
      </c>
      <c r="U88" s="3" t="str">
        <f t="shared" si="18"/>
        <v/>
      </c>
      <c r="V88" s="3" t="str">
        <f t="shared" si="19"/>
        <v/>
      </c>
      <c r="W88" s="3" t="str">
        <f t="shared" ca="1" si="20"/>
        <v/>
      </c>
      <c r="X88" s="3" t="str">
        <f t="shared" ca="1" si="21"/>
        <v/>
      </c>
      <c r="Y88" s="2"/>
    </row>
    <row r="89" spans="1:25">
      <c r="A89" s="3" t="str">
        <f t="shared" si="11"/>
        <v/>
      </c>
      <c r="B89" s="3" t="str">
        <f t="shared" si="12"/>
        <v/>
      </c>
      <c r="C89" s="2"/>
      <c r="D89" s="2"/>
      <c r="E89" s="2"/>
      <c r="F89" s="2"/>
      <c r="G89" s="2"/>
      <c r="H89" s="2"/>
      <c r="I89" s="2"/>
      <c r="J89" s="2"/>
      <c r="K89" s="2"/>
      <c r="L89" s="3" t="str">
        <f>IF(B89&lt;&gt;"Closed","",IF(K89&gt;=M89,"Target",IF(K89&lt;=N89,"Stop",IF(R89&gt;=Settings!$B$4,"Time","Manual"))))</f>
        <v/>
      </c>
      <c r="M89" s="3" t="str">
        <f>IF(F89="","",F89*(1+Settings!$B$2))</f>
        <v/>
      </c>
      <c r="N89" s="3" t="str">
        <f>IF(F89="","",F89*(1-Settings!$B$3))</f>
        <v/>
      </c>
      <c r="O89" s="3" t="str">
        <f>IF(E89="","",E89+Settings!$B$4)</f>
        <v/>
      </c>
      <c r="P89" s="3" t="str">
        <f t="shared" si="13"/>
        <v/>
      </c>
      <c r="Q89" s="3" t="str">
        <f t="shared" si="14"/>
        <v/>
      </c>
      <c r="R89" s="3" t="str">
        <f t="shared" ca="1" si="15"/>
        <v/>
      </c>
      <c r="S89" s="3" t="str">
        <f t="shared" ca="1" si="16"/>
        <v/>
      </c>
      <c r="T89" s="3" t="str">
        <f t="shared" si="17"/>
        <v/>
      </c>
      <c r="U89" s="3" t="str">
        <f t="shared" si="18"/>
        <v/>
      </c>
      <c r="V89" s="3" t="str">
        <f t="shared" si="19"/>
        <v/>
      </c>
      <c r="W89" s="3" t="str">
        <f t="shared" ca="1" si="20"/>
        <v/>
      </c>
      <c r="X89" s="3" t="str">
        <f t="shared" ca="1" si="21"/>
        <v/>
      </c>
      <c r="Y89" s="2"/>
    </row>
    <row r="90" spans="1:25">
      <c r="A90" s="3" t="str">
        <f t="shared" si="11"/>
        <v/>
      </c>
      <c r="B90" s="3" t="str">
        <f t="shared" si="12"/>
        <v/>
      </c>
      <c r="C90" s="2"/>
      <c r="D90" s="2"/>
      <c r="E90" s="2"/>
      <c r="F90" s="2"/>
      <c r="G90" s="2"/>
      <c r="H90" s="2"/>
      <c r="I90" s="2"/>
      <c r="J90" s="2"/>
      <c r="K90" s="2"/>
      <c r="L90" s="3" t="str">
        <f>IF(B90&lt;&gt;"Closed","",IF(K90&gt;=M90,"Target",IF(K90&lt;=N90,"Stop",IF(R90&gt;=Settings!$B$4,"Time","Manual"))))</f>
        <v/>
      </c>
      <c r="M90" s="3" t="str">
        <f>IF(F90="","",F90*(1+Settings!$B$2))</f>
        <v/>
      </c>
      <c r="N90" s="3" t="str">
        <f>IF(F90="","",F90*(1-Settings!$B$3))</f>
        <v/>
      </c>
      <c r="O90" s="3" t="str">
        <f>IF(E90="","",E90+Settings!$B$4)</f>
        <v/>
      </c>
      <c r="P90" s="3" t="str">
        <f t="shared" si="13"/>
        <v/>
      </c>
      <c r="Q90" s="3" t="str">
        <f t="shared" si="14"/>
        <v/>
      </c>
      <c r="R90" s="3" t="str">
        <f t="shared" ca="1" si="15"/>
        <v/>
      </c>
      <c r="S90" s="3" t="str">
        <f t="shared" ca="1" si="16"/>
        <v/>
      </c>
      <c r="T90" s="3" t="str">
        <f t="shared" si="17"/>
        <v/>
      </c>
      <c r="U90" s="3" t="str">
        <f t="shared" si="18"/>
        <v/>
      </c>
      <c r="V90" s="3" t="str">
        <f t="shared" si="19"/>
        <v/>
      </c>
      <c r="W90" s="3" t="str">
        <f t="shared" ca="1" si="20"/>
        <v/>
      </c>
      <c r="X90" s="3" t="str">
        <f t="shared" ca="1" si="21"/>
        <v/>
      </c>
      <c r="Y90" s="2"/>
    </row>
    <row r="91" spans="1:25">
      <c r="A91" s="3" t="str">
        <f t="shared" si="11"/>
        <v/>
      </c>
      <c r="B91" s="3" t="str">
        <f t="shared" si="12"/>
        <v/>
      </c>
      <c r="C91" s="2"/>
      <c r="D91" s="2"/>
      <c r="E91" s="2"/>
      <c r="F91" s="2"/>
      <c r="G91" s="2"/>
      <c r="H91" s="2"/>
      <c r="I91" s="2"/>
      <c r="J91" s="2"/>
      <c r="K91" s="2"/>
      <c r="L91" s="3" t="str">
        <f>IF(B91&lt;&gt;"Closed","",IF(K91&gt;=M91,"Target",IF(K91&lt;=N91,"Stop",IF(R91&gt;=Settings!$B$4,"Time","Manual"))))</f>
        <v/>
      </c>
      <c r="M91" s="3" t="str">
        <f>IF(F91="","",F91*(1+Settings!$B$2))</f>
        <v/>
      </c>
      <c r="N91" s="3" t="str">
        <f>IF(F91="","",F91*(1-Settings!$B$3))</f>
        <v/>
      </c>
      <c r="O91" s="3" t="str">
        <f>IF(E91="","",E91+Settings!$B$4)</f>
        <v/>
      </c>
      <c r="P91" s="3" t="str">
        <f t="shared" si="13"/>
        <v/>
      </c>
      <c r="Q91" s="3" t="str">
        <f t="shared" si="14"/>
        <v/>
      </c>
      <c r="R91" s="3" t="str">
        <f t="shared" ca="1" si="15"/>
        <v/>
      </c>
      <c r="S91" s="3" t="str">
        <f t="shared" ca="1" si="16"/>
        <v/>
      </c>
      <c r="T91" s="3" t="str">
        <f t="shared" si="17"/>
        <v/>
      </c>
      <c r="U91" s="3" t="str">
        <f t="shared" si="18"/>
        <v/>
      </c>
      <c r="V91" s="3" t="str">
        <f t="shared" si="19"/>
        <v/>
      </c>
      <c r="W91" s="3" t="str">
        <f t="shared" ca="1" si="20"/>
        <v/>
      </c>
      <c r="X91" s="3" t="str">
        <f t="shared" ca="1" si="21"/>
        <v/>
      </c>
      <c r="Y91" s="2"/>
    </row>
    <row r="92" spans="1:25">
      <c r="A92" s="3" t="str">
        <f t="shared" si="11"/>
        <v/>
      </c>
      <c r="B92" s="3" t="str">
        <f t="shared" si="12"/>
        <v/>
      </c>
      <c r="C92" s="2"/>
      <c r="D92" s="2"/>
      <c r="E92" s="2"/>
      <c r="F92" s="2"/>
      <c r="G92" s="2"/>
      <c r="H92" s="2"/>
      <c r="I92" s="2"/>
      <c r="J92" s="2"/>
      <c r="K92" s="2"/>
      <c r="L92" s="3" t="str">
        <f>IF(B92&lt;&gt;"Closed","",IF(K92&gt;=M92,"Target",IF(K92&lt;=N92,"Stop",IF(R92&gt;=Settings!$B$4,"Time","Manual"))))</f>
        <v/>
      </c>
      <c r="M92" s="3" t="str">
        <f>IF(F92="","",F92*(1+Settings!$B$2))</f>
        <v/>
      </c>
      <c r="N92" s="3" t="str">
        <f>IF(F92="","",F92*(1-Settings!$B$3))</f>
        <v/>
      </c>
      <c r="O92" s="3" t="str">
        <f>IF(E92="","",E92+Settings!$B$4)</f>
        <v/>
      </c>
      <c r="P92" s="3" t="str">
        <f t="shared" si="13"/>
        <v/>
      </c>
      <c r="Q92" s="3" t="str">
        <f t="shared" si="14"/>
        <v/>
      </c>
      <c r="R92" s="3" t="str">
        <f t="shared" ca="1" si="15"/>
        <v/>
      </c>
      <c r="S92" s="3" t="str">
        <f t="shared" ca="1" si="16"/>
        <v/>
      </c>
      <c r="T92" s="3" t="str">
        <f t="shared" si="17"/>
        <v/>
      </c>
      <c r="U92" s="3" t="str">
        <f t="shared" si="18"/>
        <v/>
      </c>
      <c r="V92" s="3" t="str">
        <f t="shared" si="19"/>
        <v/>
      </c>
      <c r="W92" s="3" t="str">
        <f t="shared" ca="1" si="20"/>
        <v/>
      </c>
      <c r="X92" s="3" t="str">
        <f t="shared" ca="1" si="21"/>
        <v/>
      </c>
      <c r="Y92" s="2"/>
    </row>
    <row r="93" spans="1:25">
      <c r="A93" s="3" t="str">
        <f t="shared" si="11"/>
        <v/>
      </c>
      <c r="B93" s="3" t="str">
        <f t="shared" si="12"/>
        <v/>
      </c>
      <c r="C93" s="2"/>
      <c r="D93" s="2"/>
      <c r="E93" s="2"/>
      <c r="F93" s="2"/>
      <c r="G93" s="2"/>
      <c r="H93" s="2"/>
      <c r="I93" s="2"/>
      <c r="J93" s="2"/>
      <c r="K93" s="2"/>
      <c r="L93" s="3" t="str">
        <f>IF(B93&lt;&gt;"Closed","",IF(K93&gt;=M93,"Target",IF(K93&lt;=N93,"Stop",IF(R93&gt;=Settings!$B$4,"Time","Manual"))))</f>
        <v/>
      </c>
      <c r="M93" s="3" t="str">
        <f>IF(F93="","",F93*(1+Settings!$B$2))</f>
        <v/>
      </c>
      <c r="N93" s="3" t="str">
        <f>IF(F93="","",F93*(1-Settings!$B$3))</f>
        <v/>
      </c>
      <c r="O93" s="3" t="str">
        <f>IF(E93="","",E93+Settings!$B$4)</f>
        <v/>
      </c>
      <c r="P93" s="3" t="str">
        <f t="shared" si="13"/>
        <v/>
      </c>
      <c r="Q93" s="3" t="str">
        <f t="shared" si="14"/>
        <v/>
      </c>
      <c r="R93" s="3" t="str">
        <f t="shared" ca="1" si="15"/>
        <v/>
      </c>
      <c r="S93" s="3" t="str">
        <f t="shared" ca="1" si="16"/>
        <v/>
      </c>
      <c r="T93" s="3" t="str">
        <f t="shared" si="17"/>
        <v/>
      </c>
      <c r="U93" s="3" t="str">
        <f t="shared" si="18"/>
        <v/>
      </c>
      <c r="V93" s="3" t="str">
        <f t="shared" si="19"/>
        <v/>
      </c>
      <c r="W93" s="3" t="str">
        <f t="shared" ca="1" si="20"/>
        <v/>
      </c>
      <c r="X93" s="3" t="str">
        <f t="shared" ca="1" si="21"/>
        <v/>
      </c>
      <c r="Y93" s="2"/>
    </row>
    <row r="94" spans="1:25">
      <c r="A94" s="3" t="str">
        <f t="shared" si="11"/>
        <v/>
      </c>
      <c r="B94" s="3" t="str">
        <f t="shared" si="12"/>
        <v/>
      </c>
      <c r="C94" s="2"/>
      <c r="D94" s="2"/>
      <c r="E94" s="2"/>
      <c r="F94" s="2"/>
      <c r="G94" s="2"/>
      <c r="H94" s="2"/>
      <c r="I94" s="2"/>
      <c r="J94" s="2"/>
      <c r="K94" s="2"/>
      <c r="L94" s="3" t="str">
        <f>IF(B94&lt;&gt;"Closed","",IF(K94&gt;=M94,"Target",IF(K94&lt;=N94,"Stop",IF(R94&gt;=Settings!$B$4,"Time","Manual"))))</f>
        <v/>
      </c>
      <c r="M94" s="3" t="str">
        <f>IF(F94="","",F94*(1+Settings!$B$2))</f>
        <v/>
      </c>
      <c r="N94" s="3" t="str">
        <f>IF(F94="","",F94*(1-Settings!$B$3))</f>
        <v/>
      </c>
      <c r="O94" s="3" t="str">
        <f>IF(E94="","",E94+Settings!$B$4)</f>
        <v/>
      </c>
      <c r="P94" s="3" t="str">
        <f t="shared" si="13"/>
        <v/>
      </c>
      <c r="Q94" s="3" t="str">
        <f t="shared" si="14"/>
        <v/>
      </c>
      <c r="R94" s="3" t="str">
        <f t="shared" ca="1" si="15"/>
        <v/>
      </c>
      <c r="S94" s="3" t="str">
        <f t="shared" ca="1" si="16"/>
        <v/>
      </c>
      <c r="T94" s="3" t="str">
        <f t="shared" si="17"/>
        <v/>
      </c>
      <c r="U94" s="3" t="str">
        <f t="shared" si="18"/>
        <v/>
      </c>
      <c r="V94" s="3" t="str">
        <f t="shared" si="19"/>
        <v/>
      </c>
      <c r="W94" s="3" t="str">
        <f t="shared" ca="1" si="20"/>
        <v/>
      </c>
      <c r="X94" s="3" t="str">
        <f t="shared" ca="1" si="21"/>
        <v/>
      </c>
      <c r="Y94" s="2"/>
    </row>
    <row r="95" spans="1:25">
      <c r="A95" s="3" t="str">
        <f t="shared" si="11"/>
        <v/>
      </c>
      <c r="B95" s="3" t="str">
        <f t="shared" si="12"/>
        <v/>
      </c>
      <c r="C95" s="2"/>
      <c r="D95" s="2"/>
      <c r="E95" s="2"/>
      <c r="F95" s="2"/>
      <c r="G95" s="2"/>
      <c r="H95" s="2"/>
      <c r="I95" s="2"/>
      <c r="J95" s="2"/>
      <c r="K95" s="2"/>
      <c r="L95" s="3" t="str">
        <f>IF(B95&lt;&gt;"Closed","",IF(K95&gt;=M95,"Target",IF(K95&lt;=N95,"Stop",IF(R95&gt;=Settings!$B$4,"Time","Manual"))))</f>
        <v/>
      </c>
      <c r="M95" s="3" t="str">
        <f>IF(F95="","",F95*(1+Settings!$B$2))</f>
        <v/>
      </c>
      <c r="N95" s="3" t="str">
        <f>IF(F95="","",F95*(1-Settings!$B$3))</f>
        <v/>
      </c>
      <c r="O95" s="3" t="str">
        <f>IF(E95="","",E95+Settings!$B$4)</f>
        <v/>
      </c>
      <c r="P95" s="3" t="str">
        <f t="shared" si="13"/>
        <v/>
      </c>
      <c r="Q95" s="3" t="str">
        <f t="shared" si="14"/>
        <v/>
      </c>
      <c r="R95" s="3" t="str">
        <f t="shared" ca="1" si="15"/>
        <v/>
      </c>
      <c r="S95" s="3" t="str">
        <f t="shared" ca="1" si="16"/>
        <v/>
      </c>
      <c r="T95" s="3" t="str">
        <f t="shared" si="17"/>
        <v/>
      </c>
      <c r="U95" s="3" t="str">
        <f t="shared" si="18"/>
        <v/>
      </c>
      <c r="V95" s="3" t="str">
        <f t="shared" si="19"/>
        <v/>
      </c>
      <c r="W95" s="3" t="str">
        <f t="shared" ca="1" si="20"/>
        <v/>
      </c>
      <c r="X95" s="3" t="str">
        <f t="shared" ca="1" si="21"/>
        <v/>
      </c>
      <c r="Y95" s="2"/>
    </row>
    <row r="96" spans="1:25">
      <c r="A96" s="3" t="str">
        <f t="shared" si="11"/>
        <v/>
      </c>
      <c r="B96" s="3" t="str">
        <f t="shared" si="12"/>
        <v/>
      </c>
      <c r="C96" s="2"/>
      <c r="D96" s="2"/>
      <c r="E96" s="2"/>
      <c r="F96" s="2"/>
      <c r="G96" s="2"/>
      <c r="H96" s="2"/>
      <c r="I96" s="2"/>
      <c r="J96" s="2"/>
      <c r="K96" s="2"/>
      <c r="L96" s="3" t="str">
        <f>IF(B96&lt;&gt;"Closed","",IF(K96&gt;=M96,"Target",IF(K96&lt;=N96,"Stop",IF(R96&gt;=Settings!$B$4,"Time","Manual"))))</f>
        <v/>
      </c>
      <c r="M96" s="3" t="str">
        <f>IF(F96="","",F96*(1+Settings!$B$2))</f>
        <v/>
      </c>
      <c r="N96" s="3" t="str">
        <f>IF(F96="","",F96*(1-Settings!$B$3))</f>
        <v/>
      </c>
      <c r="O96" s="3" t="str">
        <f>IF(E96="","",E96+Settings!$B$4)</f>
        <v/>
      </c>
      <c r="P96" s="3" t="str">
        <f t="shared" si="13"/>
        <v/>
      </c>
      <c r="Q96" s="3" t="str">
        <f t="shared" si="14"/>
        <v/>
      </c>
      <c r="R96" s="3" t="str">
        <f t="shared" ca="1" si="15"/>
        <v/>
      </c>
      <c r="S96" s="3" t="str">
        <f t="shared" ca="1" si="16"/>
        <v/>
      </c>
      <c r="T96" s="3" t="str">
        <f t="shared" si="17"/>
        <v/>
      </c>
      <c r="U96" s="3" t="str">
        <f t="shared" si="18"/>
        <v/>
      </c>
      <c r="V96" s="3" t="str">
        <f t="shared" si="19"/>
        <v/>
      </c>
      <c r="W96" s="3" t="str">
        <f t="shared" ca="1" si="20"/>
        <v/>
      </c>
      <c r="X96" s="3" t="str">
        <f t="shared" ca="1" si="21"/>
        <v/>
      </c>
      <c r="Y96" s="2"/>
    </row>
    <row r="97" spans="1:25">
      <c r="A97" s="3" t="str">
        <f t="shared" si="11"/>
        <v/>
      </c>
      <c r="B97" s="3" t="str">
        <f t="shared" si="12"/>
        <v/>
      </c>
      <c r="C97" s="2"/>
      <c r="D97" s="2"/>
      <c r="E97" s="2"/>
      <c r="F97" s="2"/>
      <c r="G97" s="2"/>
      <c r="H97" s="2"/>
      <c r="I97" s="2"/>
      <c r="J97" s="2"/>
      <c r="K97" s="2"/>
      <c r="L97" s="3" t="str">
        <f>IF(B97&lt;&gt;"Closed","",IF(K97&gt;=M97,"Target",IF(K97&lt;=N97,"Stop",IF(R97&gt;=Settings!$B$4,"Time","Manual"))))</f>
        <v/>
      </c>
      <c r="M97" s="3" t="str">
        <f>IF(F97="","",F97*(1+Settings!$B$2))</f>
        <v/>
      </c>
      <c r="N97" s="3" t="str">
        <f>IF(F97="","",F97*(1-Settings!$B$3))</f>
        <v/>
      </c>
      <c r="O97" s="3" t="str">
        <f>IF(E97="","",E97+Settings!$B$4)</f>
        <v/>
      </c>
      <c r="P97" s="3" t="str">
        <f t="shared" si="13"/>
        <v/>
      </c>
      <c r="Q97" s="3" t="str">
        <f t="shared" si="14"/>
        <v/>
      </c>
      <c r="R97" s="3" t="str">
        <f t="shared" ca="1" si="15"/>
        <v/>
      </c>
      <c r="S97" s="3" t="str">
        <f t="shared" ca="1" si="16"/>
        <v/>
      </c>
      <c r="T97" s="3" t="str">
        <f t="shared" si="17"/>
        <v/>
      </c>
      <c r="U97" s="3" t="str">
        <f t="shared" si="18"/>
        <v/>
      </c>
      <c r="V97" s="3" t="str">
        <f t="shared" si="19"/>
        <v/>
      </c>
      <c r="W97" s="3" t="str">
        <f t="shared" ca="1" si="20"/>
        <v/>
      </c>
      <c r="X97" s="3" t="str">
        <f t="shared" ca="1" si="21"/>
        <v/>
      </c>
      <c r="Y97" s="2"/>
    </row>
    <row r="98" spans="1:25">
      <c r="A98" s="3" t="str">
        <f t="shared" si="11"/>
        <v/>
      </c>
      <c r="B98" s="3" t="str">
        <f t="shared" si="12"/>
        <v/>
      </c>
      <c r="C98" s="2"/>
      <c r="D98" s="2"/>
      <c r="E98" s="2"/>
      <c r="F98" s="2"/>
      <c r="G98" s="2"/>
      <c r="H98" s="2"/>
      <c r="I98" s="2"/>
      <c r="J98" s="2"/>
      <c r="K98" s="2"/>
      <c r="L98" s="3" t="str">
        <f>IF(B98&lt;&gt;"Closed","",IF(K98&gt;=M98,"Target",IF(K98&lt;=N98,"Stop",IF(R98&gt;=Settings!$B$4,"Time","Manual"))))</f>
        <v/>
      </c>
      <c r="M98" s="3" t="str">
        <f>IF(F98="","",F98*(1+Settings!$B$2))</f>
        <v/>
      </c>
      <c r="N98" s="3" t="str">
        <f>IF(F98="","",F98*(1-Settings!$B$3))</f>
        <v/>
      </c>
      <c r="O98" s="3" t="str">
        <f>IF(E98="","",E98+Settings!$B$4)</f>
        <v/>
      </c>
      <c r="P98" s="3" t="str">
        <f t="shared" si="13"/>
        <v/>
      </c>
      <c r="Q98" s="3" t="str">
        <f t="shared" si="14"/>
        <v/>
      </c>
      <c r="R98" s="3" t="str">
        <f t="shared" ca="1" si="15"/>
        <v/>
      </c>
      <c r="S98" s="3" t="str">
        <f t="shared" ca="1" si="16"/>
        <v/>
      </c>
      <c r="T98" s="3" t="str">
        <f t="shared" si="17"/>
        <v/>
      </c>
      <c r="U98" s="3" t="str">
        <f t="shared" si="18"/>
        <v/>
      </c>
      <c r="V98" s="3" t="str">
        <f t="shared" si="19"/>
        <v/>
      </c>
      <c r="W98" s="3" t="str">
        <f t="shared" ca="1" si="20"/>
        <v/>
      </c>
      <c r="X98" s="3" t="str">
        <f t="shared" ca="1" si="21"/>
        <v/>
      </c>
      <c r="Y98" s="2"/>
    </row>
    <row r="99" spans="1:25">
      <c r="A99" s="3" t="str">
        <f t="shared" si="11"/>
        <v/>
      </c>
      <c r="B99" s="3" t="str">
        <f t="shared" si="12"/>
        <v/>
      </c>
      <c r="C99" s="2"/>
      <c r="D99" s="2"/>
      <c r="E99" s="2"/>
      <c r="F99" s="2"/>
      <c r="G99" s="2"/>
      <c r="H99" s="2"/>
      <c r="I99" s="2"/>
      <c r="J99" s="2"/>
      <c r="K99" s="2"/>
      <c r="L99" s="3" t="str">
        <f>IF(B99&lt;&gt;"Closed","",IF(K99&gt;=M99,"Target",IF(K99&lt;=N99,"Stop",IF(R99&gt;=Settings!$B$4,"Time","Manual"))))</f>
        <v/>
      </c>
      <c r="M99" s="3" t="str">
        <f>IF(F99="","",F99*(1+Settings!$B$2))</f>
        <v/>
      </c>
      <c r="N99" s="3" t="str">
        <f>IF(F99="","",F99*(1-Settings!$B$3))</f>
        <v/>
      </c>
      <c r="O99" s="3" t="str">
        <f>IF(E99="","",E99+Settings!$B$4)</f>
        <v/>
      </c>
      <c r="P99" s="3" t="str">
        <f t="shared" si="13"/>
        <v/>
      </c>
      <c r="Q99" s="3" t="str">
        <f t="shared" si="14"/>
        <v/>
      </c>
      <c r="R99" s="3" t="str">
        <f t="shared" ca="1" si="15"/>
        <v/>
      </c>
      <c r="S99" s="3" t="str">
        <f t="shared" ca="1" si="16"/>
        <v/>
      </c>
      <c r="T99" s="3" t="str">
        <f t="shared" si="17"/>
        <v/>
      </c>
      <c r="U99" s="3" t="str">
        <f t="shared" si="18"/>
        <v/>
      </c>
      <c r="V99" s="3" t="str">
        <f t="shared" si="19"/>
        <v/>
      </c>
      <c r="W99" s="3" t="str">
        <f t="shared" ca="1" si="20"/>
        <v/>
      </c>
      <c r="X99" s="3" t="str">
        <f t="shared" ca="1" si="21"/>
        <v/>
      </c>
      <c r="Y99" s="2"/>
    </row>
    <row r="100" spans="1:25">
      <c r="A100" s="3" t="str">
        <f t="shared" si="11"/>
        <v/>
      </c>
      <c r="B100" s="3" t="str">
        <f t="shared" si="12"/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3" t="str">
        <f>IF(B100&lt;&gt;"Closed","",IF(K100&gt;=M100,"Target",IF(K100&lt;=N100,"Stop",IF(R100&gt;=Settings!$B$4,"Time","Manual"))))</f>
        <v/>
      </c>
      <c r="M100" s="3" t="str">
        <f>IF(F100="","",F100*(1+Settings!$B$2))</f>
        <v/>
      </c>
      <c r="N100" s="3" t="str">
        <f>IF(F100="","",F100*(1-Settings!$B$3))</f>
        <v/>
      </c>
      <c r="O100" s="3" t="str">
        <f>IF(E100="","",E100+Settings!$B$4)</f>
        <v/>
      </c>
      <c r="P100" s="3" t="str">
        <f t="shared" si="13"/>
        <v/>
      </c>
      <c r="Q100" s="3" t="str">
        <f t="shared" si="14"/>
        <v/>
      </c>
      <c r="R100" s="3" t="str">
        <f t="shared" ca="1" si="15"/>
        <v/>
      </c>
      <c r="S100" s="3" t="str">
        <f t="shared" ca="1" si="16"/>
        <v/>
      </c>
      <c r="T100" s="3" t="str">
        <f t="shared" si="17"/>
        <v/>
      </c>
      <c r="U100" s="3" t="str">
        <f t="shared" si="18"/>
        <v/>
      </c>
      <c r="V100" s="3" t="str">
        <f t="shared" si="19"/>
        <v/>
      </c>
      <c r="W100" s="3" t="str">
        <f t="shared" ca="1" si="20"/>
        <v/>
      </c>
      <c r="X100" s="3" t="str">
        <f t="shared" ca="1" si="21"/>
        <v/>
      </c>
      <c r="Y100" s="2"/>
    </row>
    <row r="101" spans="1:25">
      <c r="A101" s="3" t="str">
        <f t="shared" si="11"/>
        <v/>
      </c>
      <c r="B101" s="3" t="str">
        <f t="shared" si="12"/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3" t="str">
        <f>IF(B101&lt;&gt;"Closed","",IF(K101&gt;=M101,"Target",IF(K101&lt;=N101,"Stop",IF(R101&gt;=Settings!$B$4,"Time","Manual"))))</f>
        <v/>
      </c>
      <c r="M101" s="3" t="str">
        <f>IF(F101="","",F101*(1+Settings!$B$2))</f>
        <v/>
      </c>
      <c r="N101" s="3" t="str">
        <f>IF(F101="","",F101*(1-Settings!$B$3))</f>
        <v/>
      </c>
      <c r="O101" s="3" t="str">
        <f>IF(E101="","",E101+Settings!$B$4)</f>
        <v/>
      </c>
      <c r="P101" s="3" t="str">
        <f t="shared" si="13"/>
        <v/>
      </c>
      <c r="Q101" s="3" t="str">
        <f t="shared" si="14"/>
        <v/>
      </c>
      <c r="R101" s="3" t="str">
        <f t="shared" ca="1" si="15"/>
        <v/>
      </c>
      <c r="S101" s="3" t="str">
        <f t="shared" ca="1" si="16"/>
        <v/>
      </c>
      <c r="T101" s="3" t="str">
        <f t="shared" si="17"/>
        <v/>
      </c>
      <c r="U101" s="3" t="str">
        <f t="shared" si="18"/>
        <v/>
      </c>
      <c r="V101" s="3" t="str">
        <f t="shared" si="19"/>
        <v/>
      </c>
      <c r="W101" s="3" t="str">
        <f t="shared" ca="1" si="20"/>
        <v/>
      </c>
      <c r="X101" s="3" t="str">
        <f t="shared" ca="1" si="21"/>
        <v/>
      </c>
      <c r="Y101" s="2"/>
    </row>
    <row r="102" spans="1:25">
      <c r="A102" s="3" t="str">
        <f t="shared" si="11"/>
        <v/>
      </c>
      <c r="B102" s="3" t="str">
        <f t="shared" si="12"/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3" t="str">
        <f>IF(B102&lt;&gt;"Closed","",IF(K102&gt;=M102,"Target",IF(K102&lt;=N102,"Stop",IF(R102&gt;=Settings!$B$4,"Time","Manual"))))</f>
        <v/>
      </c>
      <c r="M102" s="3" t="str">
        <f>IF(F102="","",F102*(1+Settings!$B$2))</f>
        <v/>
      </c>
      <c r="N102" s="3" t="str">
        <f>IF(F102="","",F102*(1-Settings!$B$3))</f>
        <v/>
      </c>
      <c r="O102" s="3" t="str">
        <f>IF(E102="","",E102+Settings!$B$4)</f>
        <v/>
      </c>
      <c r="P102" s="3" t="str">
        <f t="shared" si="13"/>
        <v/>
      </c>
      <c r="Q102" s="3" t="str">
        <f t="shared" si="14"/>
        <v/>
      </c>
      <c r="R102" s="3" t="str">
        <f t="shared" ca="1" si="15"/>
        <v/>
      </c>
      <c r="S102" s="3" t="str">
        <f t="shared" ca="1" si="16"/>
        <v/>
      </c>
      <c r="T102" s="3" t="str">
        <f t="shared" si="17"/>
        <v/>
      </c>
      <c r="U102" s="3" t="str">
        <f t="shared" si="18"/>
        <v/>
      </c>
      <c r="V102" s="3" t="str">
        <f t="shared" si="19"/>
        <v/>
      </c>
      <c r="W102" s="3" t="str">
        <f t="shared" ca="1" si="20"/>
        <v/>
      </c>
      <c r="X102" s="3" t="str">
        <f t="shared" ca="1" si="21"/>
        <v/>
      </c>
      <c r="Y102" s="2"/>
    </row>
    <row r="103" spans="1:25">
      <c r="A103" s="3" t="str">
        <f t="shared" si="11"/>
        <v/>
      </c>
      <c r="B103" s="3" t="str">
        <f t="shared" si="12"/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3" t="str">
        <f>IF(B103&lt;&gt;"Closed","",IF(K103&gt;=M103,"Target",IF(K103&lt;=N103,"Stop",IF(R103&gt;=Settings!$B$4,"Time","Manual"))))</f>
        <v/>
      </c>
      <c r="M103" s="3" t="str">
        <f>IF(F103="","",F103*(1+Settings!$B$2))</f>
        <v/>
      </c>
      <c r="N103" s="3" t="str">
        <f>IF(F103="","",F103*(1-Settings!$B$3))</f>
        <v/>
      </c>
      <c r="O103" s="3" t="str">
        <f>IF(E103="","",E103+Settings!$B$4)</f>
        <v/>
      </c>
      <c r="P103" s="3" t="str">
        <f t="shared" si="13"/>
        <v/>
      </c>
      <c r="Q103" s="3" t="str">
        <f t="shared" si="14"/>
        <v/>
      </c>
      <c r="R103" s="3" t="str">
        <f t="shared" ca="1" si="15"/>
        <v/>
      </c>
      <c r="S103" s="3" t="str">
        <f t="shared" ca="1" si="16"/>
        <v/>
      </c>
      <c r="T103" s="3" t="str">
        <f t="shared" si="17"/>
        <v/>
      </c>
      <c r="U103" s="3" t="str">
        <f t="shared" si="18"/>
        <v/>
      </c>
      <c r="V103" s="3" t="str">
        <f t="shared" si="19"/>
        <v/>
      </c>
      <c r="W103" s="3" t="str">
        <f t="shared" ca="1" si="20"/>
        <v/>
      </c>
      <c r="X103" s="3" t="str">
        <f t="shared" ca="1" si="21"/>
        <v/>
      </c>
      <c r="Y103" s="2"/>
    </row>
    <row r="104" spans="1:25">
      <c r="A104" s="3" t="str">
        <f t="shared" si="11"/>
        <v/>
      </c>
      <c r="B104" s="3" t="str">
        <f t="shared" si="12"/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3" t="str">
        <f>IF(B104&lt;&gt;"Closed","",IF(K104&gt;=M104,"Target",IF(K104&lt;=N104,"Stop",IF(R104&gt;=Settings!$B$4,"Time","Manual"))))</f>
        <v/>
      </c>
      <c r="M104" s="3" t="str">
        <f>IF(F104="","",F104*(1+Settings!$B$2))</f>
        <v/>
      </c>
      <c r="N104" s="3" t="str">
        <f>IF(F104="","",F104*(1-Settings!$B$3))</f>
        <v/>
      </c>
      <c r="O104" s="3" t="str">
        <f>IF(E104="","",E104+Settings!$B$4)</f>
        <v/>
      </c>
      <c r="P104" s="3" t="str">
        <f t="shared" si="13"/>
        <v/>
      </c>
      <c r="Q104" s="3" t="str">
        <f t="shared" si="14"/>
        <v/>
      </c>
      <c r="R104" s="3" t="str">
        <f t="shared" ca="1" si="15"/>
        <v/>
      </c>
      <c r="S104" s="3" t="str">
        <f t="shared" ca="1" si="16"/>
        <v/>
      </c>
      <c r="T104" s="3" t="str">
        <f t="shared" si="17"/>
        <v/>
      </c>
      <c r="U104" s="3" t="str">
        <f t="shared" si="18"/>
        <v/>
      </c>
      <c r="V104" s="3" t="str">
        <f t="shared" si="19"/>
        <v/>
      </c>
      <c r="W104" s="3" t="str">
        <f t="shared" ca="1" si="20"/>
        <v/>
      </c>
      <c r="X104" s="3" t="str">
        <f t="shared" ca="1" si="21"/>
        <v/>
      </c>
      <c r="Y104" s="2"/>
    </row>
    <row r="105" spans="1:25">
      <c r="A105" s="3" t="str">
        <f t="shared" si="11"/>
        <v/>
      </c>
      <c r="B105" s="3" t="str">
        <f t="shared" si="12"/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3" t="str">
        <f>IF(B105&lt;&gt;"Closed","",IF(K105&gt;=M105,"Target",IF(K105&lt;=N105,"Stop",IF(R105&gt;=Settings!$B$4,"Time","Manual"))))</f>
        <v/>
      </c>
      <c r="M105" s="3" t="str">
        <f>IF(F105="","",F105*(1+Settings!$B$2))</f>
        <v/>
      </c>
      <c r="N105" s="3" t="str">
        <f>IF(F105="","",F105*(1-Settings!$B$3))</f>
        <v/>
      </c>
      <c r="O105" s="3" t="str">
        <f>IF(E105="","",E105+Settings!$B$4)</f>
        <v/>
      </c>
      <c r="P105" s="3" t="str">
        <f t="shared" si="13"/>
        <v/>
      </c>
      <c r="Q105" s="3" t="str">
        <f t="shared" si="14"/>
        <v/>
      </c>
      <c r="R105" s="3" t="str">
        <f t="shared" ca="1" si="15"/>
        <v/>
      </c>
      <c r="S105" s="3" t="str">
        <f t="shared" ca="1" si="16"/>
        <v/>
      </c>
      <c r="T105" s="3" t="str">
        <f t="shared" si="17"/>
        <v/>
      </c>
      <c r="U105" s="3" t="str">
        <f t="shared" si="18"/>
        <v/>
      </c>
      <c r="V105" s="3" t="str">
        <f t="shared" si="19"/>
        <v/>
      </c>
      <c r="W105" s="3" t="str">
        <f t="shared" ca="1" si="20"/>
        <v/>
      </c>
      <c r="X105" s="3" t="str">
        <f t="shared" ca="1" si="21"/>
        <v/>
      </c>
      <c r="Y105" s="2"/>
    </row>
    <row r="106" spans="1:25">
      <c r="A106" s="3" t="str">
        <f t="shared" si="11"/>
        <v/>
      </c>
      <c r="B106" s="3" t="str">
        <f t="shared" si="12"/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3" t="str">
        <f>IF(B106&lt;&gt;"Closed","",IF(K106&gt;=M106,"Target",IF(K106&lt;=N106,"Stop",IF(R106&gt;=Settings!$B$4,"Time","Manual"))))</f>
        <v/>
      </c>
      <c r="M106" s="3" t="str">
        <f>IF(F106="","",F106*(1+Settings!$B$2))</f>
        <v/>
      </c>
      <c r="N106" s="3" t="str">
        <f>IF(F106="","",F106*(1-Settings!$B$3))</f>
        <v/>
      </c>
      <c r="O106" s="3" t="str">
        <f>IF(E106="","",E106+Settings!$B$4)</f>
        <v/>
      </c>
      <c r="P106" s="3" t="str">
        <f t="shared" si="13"/>
        <v/>
      </c>
      <c r="Q106" s="3" t="str">
        <f t="shared" si="14"/>
        <v/>
      </c>
      <c r="R106" s="3" t="str">
        <f t="shared" ca="1" si="15"/>
        <v/>
      </c>
      <c r="S106" s="3" t="str">
        <f t="shared" ca="1" si="16"/>
        <v/>
      </c>
      <c r="T106" s="3" t="str">
        <f t="shared" si="17"/>
        <v/>
      </c>
      <c r="U106" s="3" t="str">
        <f t="shared" si="18"/>
        <v/>
      </c>
      <c r="V106" s="3" t="str">
        <f t="shared" si="19"/>
        <v/>
      </c>
      <c r="W106" s="3" t="str">
        <f t="shared" ca="1" si="20"/>
        <v/>
      </c>
      <c r="X106" s="3" t="str">
        <f t="shared" ca="1" si="21"/>
        <v/>
      </c>
      <c r="Y106" s="2"/>
    </row>
    <row r="107" spans="1:25">
      <c r="A107" s="3" t="str">
        <f t="shared" si="11"/>
        <v/>
      </c>
      <c r="B107" s="3" t="str">
        <f t="shared" si="12"/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3" t="str">
        <f>IF(B107&lt;&gt;"Closed","",IF(K107&gt;=M107,"Target",IF(K107&lt;=N107,"Stop",IF(R107&gt;=Settings!$B$4,"Time","Manual"))))</f>
        <v/>
      </c>
      <c r="M107" s="3" t="str">
        <f>IF(F107="","",F107*(1+Settings!$B$2))</f>
        <v/>
      </c>
      <c r="N107" s="3" t="str">
        <f>IF(F107="","",F107*(1-Settings!$B$3))</f>
        <v/>
      </c>
      <c r="O107" s="3" t="str">
        <f>IF(E107="","",E107+Settings!$B$4)</f>
        <v/>
      </c>
      <c r="P107" s="3" t="str">
        <f t="shared" si="13"/>
        <v/>
      </c>
      <c r="Q107" s="3" t="str">
        <f t="shared" si="14"/>
        <v/>
      </c>
      <c r="R107" s="3" t="str">
        <f t="shared" ca="1" si="15"/>
        <v/>
      </c>
      <c r="S107" s="3" t="str">
        <f t="shared" ca="1" si="16"/>
        <v/>
      </c>
      <c r="T107" s="3" t="str">
        <f t="shared" si="17"/>
        <v/>
      </c>
      <c r="U107" s="3" t="str">
        <f t="shared" si="18"/>
        <v/>
      </c>
      <c r="V107" s="3" t="str">
        <f t="shared" si="19"/>
        <v/>
      </c>
      <c r="W107" s="3" t="str">
        <f t="shared" ca="1" si="20"/>
        <v/>
      </c>
      <c r="X107" s="3" t="str">
        <f t="shared" ca="1" si="21"/>
        <v/>
      </c>
      <c r="Y107" s="2"/>
    </row>
    <row r="108" spans="1:25">
      <c r="A108" s="3" t="str">
        <f t="shared" si="11"/>
        <v/>
      </c>
      <c r="B108" s="3" t="str">
        <f t="shared" si="12"/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3" t="str">
        <f>IF(B108&lt;&gt;"Closed","",IF(K108&gt;=M108,"Target",IF(K108&lt;=N108,"Stop",IF(R108&gt;=Settings!$B$4,"Time","Manual"))))</f>
        <v/>
      </c>
      <c r="M108" s="3" t="str">
        <f>IF(F108="","",F108*(1+Settings!$B$2))</f>
        <v/>
      </c>
      <c r="N108" s="3" t="str">
        <f>IF(F108="","",F108*(1-Settings!$B$3))</f>
        <v/>
      </c>
      <c r="O108" s="3" t="str">
        <f>IF(E108="","",E108+Settings!$B$4)</f>
        <v/>
      </c>
      <c r="P108" s="3" t="str">
        <f t="shared" si="13"/>
        <v/>
      </c>
      <c r="Q108" s="3" t="str">
        <f t="shared" si="14"/>
        <v/>
      </c>
      <c r="R108" s="3" t="str">
        <f t="shared" ca="1" si="15"/>
        <v/>
      </c>
      <c r="S108" s="3" t="str">
        <f t="shared" ca="1" si="16"/>
        <v/>
      </c>
      <c r="T108" s="3" t="str">
        <f t="shared" si="17"/>
        <v/>
      </c>
      <c r="U108" s="3" t="str">
        <f t="shared" si="18"/>
        <v/>
      </c>
      <c r="V108" s="3" t="str">
        <f t="shared" si="19"/>
        <v/>
      </c>
      <c r="W108" s="3" t="str">
        <f t="shared" ca="1" si="20"/>
        <v/>
      </c>
      <c r="X108" s="3" t="str">
        <f t="shared" ca="1" si="21"/>
        <v/>
      </c>
      <c r="Y108" s="2"/>
    </row>
    <row r="109" spans="1:25">
      <c r="A109" s="3" t="str">
        <f t="shared" si="11"/>
        <v/>
      </c>
      <c r="B109" s="3" t="str">
        <f t="shared" si="12"/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3" t="str">
        <f>IF(B109&lt;&gt;"Closed","",IF(K109&gt;=M109,"Target",IF(K109&lt;=N109,"Stop",IF(R109&gt;=Settings!$B$4,"Time","Manual"))))</f>
        <v/>
      </c>
      <c r="M109" s="3" t="str">
        <f>IF(F109="","",F109*(1+Settings!$B$2))</f>
        <v/>
      </c>
      <c r="N109" s="3" t="str">
        <f>IF(F109="","",F109*(1-Settings!$B$3))</f>
        <v/>
      </c>
      <c r="O109" s="3" t="str">
        <f>IF(E109="","",E109+Settings!$B$4)</f>
        <v/>
      </c>
      <c r="P109" s="3" t="str">
        <f t="shared" si="13"/>
        <v/>
      </c>
      <c r="Q109" s="3" t="str">
        <f t="shared" si="14"/>
        <v/>
      </c>
      <c r="R109" s="3" t="str">
        <f t="shared" ca="1" si="15"/>
        <v/>
      </c>
      <c r="S109" s="3" t="str">
        <f t="shared" ca="1" si="16"/>
        <v/>
      </c>
      <c r="T109" s="3" t="str">
        <f t="shared" si="17"/>
        <v/>
      </c>
      <c r="U109" s="3" t="str">
        <f t="shared" si="18"/>
        <v/>
      </c>
      <c r="V109" s="3" t="str">
        <f t="shared" si="19"/>
        <v/>
      </c>
      <c r="W109" s="3" t="str">
        <f t="shared" ca="1" si="20"/>
        <v/>
      </c>
      <c r="X109" s="3" t="str">
        <f t="shared" ca="1" si="21"/>
        <v/>
      </c>
      <c r="Y109" s="2"/>
    </row>
    <row r="110" spans="1:25">
      <c r="A110" s="3" t="str">
        <f t="shared" si="11"/>
        <v/>
      </c>
      <c r="B110" s="3" t="str">
        <f t="shared" si="12"/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3" t="str">
        <f>IF(B110&lt;&gt;"Closed","",IF(K110&gt;=M110,"Target",IF(K110&lt;=N110,"Stop",IF(R110&gt;=Settings!$B$4,"Time","Manual"))))</f>
        <v/>
      </c>
      <c r="M110" s="3" t="str">
        <f>IF(F110="","",F110*(1+Settings!$B$2))</f>
        <v/>
      </c>
      <c r="N110" s="3" t="str">
        <f>IF(F110="","",F110*(1-Settings!$B$3))</f>
        <v/>
      </c>
      <c r="O110" s="3" t="str">
        <f>IF(E110="","",E110+Settings!$B$4)</f>
        <v/>
      </c>
      <c r="P110" s="3" t="str">
        <f t="shared" si="13"/>
        <v/>
      </c>
      <c r="Q110" s="3" t="str">
        <f t="shared" si="14"/>
        <v/>
      </c>
      <c r="R110" s="3" t="str">
        <f t="shared" ca="1" si="15"/>
        <v/>
      </c>
      <c r="S110" s="3" t="str">
        <f t="shared" ca="1" si="16"/>
        <v/>
      </c>
      <c r="T110" s="3" t="str">
        <f t="shared" si="17"/>
        <v/>
      </c>
      <c r="U110" s="3" t="str">
        <f t="shared" si="18"/>
        <v/>
      </c>
      <c r="V110" s="3" t="str">
        <f t="shared" si="19"/>
        <v/>
      </c>
      <c r="W110" s="3" t="str">
        <f t="shared" ca="1" si="20"/>
        <v/>
      </c>
      <c r="X110" s="3" t="str">
        <f t="shared" ca="1" si="21"/>
        <v/>
      </c>
      <c r="Y110" s="2"/>
    </row>
    <row r="111" spans="1:25">
      <c r="A111" s="3" t="str">
        <f t="shared" si="11"/>
        <v/>
      </c>
      <c r="B111" s="3" t="str">
        <f t="shared" si="12"/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3" t="str">
        <f>IF(B111&lt;&gt;"Closed","",IF(K111&gt;=M111,"Target",IF(K111&lt;=N111,"Stop",IF(R111&gt;=Settings!$B$4,"Time","Manual"))))</f>
        <v/>
      </c>
      <c r="M111" s="3" t="str">
        <f>IF(F111="","",F111*(1+Settings!$B$2))</f>
        <v/>
      </c>
      <c r="N111" s="3" t="str">
        <f>IF(F111="","",F111*(1-Settings!$B$3))</f>
        <v/>
      </c>
      <c r="O111" s="3" t="str">
        <f>IF(E111="","",E111+Settings!$B$4)</f>
        <v/>
      </c>
      <c r="P111" s="3" t="str">
        <f t="shared" si="13"/>
        <v/>
      </c>
      <c r="Q111" s="3" t="str">
        <f t="shared" si="14"/>
        <v/>
      </c>
      <c r="R111" s="3" t="str">
        <f t="shared" ca="1" si="15"/>
        <v/>
      </c>
      <c r="S111" s="3" t="str">
        <f t="shared" ca="1" si="16"/>
        <v/>
      </c>
      <c r="T111" s="3" t="str">
        <f t="shared" si="17"/>
        <v/>
      </c>
      <c r="U111" s="3" t="str">
        <f t="shared" si="18"/>
        <v/>
      </c>
      <c r="V111" s="3" t="str">
        <f t="shared" si="19"/>
        <v/>
      </c>
      <c r="W111" s="3" t="str">
        <f t="shared" ca="1" si="20"/>
        <v/>
      </c>
      <c r="X111" s="3" t="str">
        <f t="shared" ca="1" si="21"/>
        <v/>
      </c>
      <c r="Y111" s="2"/>
    </row>
    <row r="112" spans="1:25">
      <c r="A112" s="3" t="str">
        <f t="shared" si="11"/>
        <v/>
      </c>
      <c r="B112" s="3" t="str">
        <f t="shared" si="12"/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3" t="str">
        <f>IF(B112&lt;&gt;"Closed","",IF(K112&gt;=M112,"Target",IF(K112&lt;=N112,"Stop",IF(R112&gt;=Settings!$B$4,"Time","Manual"))))</f>
        <v/>
      </c>
      <c r="M112" s="3" t="str">
        <f>IF(F112="","",F112*(1+Settings!$B$2))</f>
        <v/>
      </c>
      <c r="N112" s="3" t="str">
        <f>IF(F112="","",F112*(1-Settings!$B$3))</f>
        <v/>
      </c>
      <c r="O112" s="3" t="str">
        <f>IF(E112="","",E112+Settings!$B$4)</f>
        <v/>
      </c>
      <c r="P112" s="3" t="str">
        <f t="shared" si="13"/>
        <v/>
      </c>
      <c r="Q112" s="3" t="str">
        <f t="shared" si="14"/>
        <v/>
      </c>
      <c r="R112" s="3" t="str">
        <f t="shared" ca="1" si="15"/>
        <v/>
      </c>
      <c r="S112" s="3" t="str">
        <f t="shared" ca="1" si="16"/>
        <v/>
      </c>
      <c r="T112" s="3" t="str">
        <f t="shared" si="17"/>
        <v/>
      </c>
      <c r="U112" s="3" t="str">
        <f t="shared" si="18"/>
        <v/>
      </c>
      <c r="V112" s="3" t="str">
        <f t="shared" si="19"/>
        <v/>
      </c>
      <c r="W112" s="3" t="str">
        <f t="shared" ca="1" si="20"/>
        <v/>
      </c>
      <c r="X112" s="3" t="str">
        <f t="shared" ca="1" si="21"/>
        <v/>
      </c>
      <c r="Y112" s="2"/>
    </row>
    <row r="113" spans="1:25">
      <c r="A113" s="3" t="str">
        <f t="shared" si="11"/>
        <v/>
      </c>
      <c r="B113" s="3" t="str">
        <f t="shared" si="12"/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3" t="str">
        <f>IF(B113&lt;&gt;"Closed","",IF(K113&gt;=M113,"Target",IF(K113&lt;=N113,"Stop",IF(R113&gt;=Settings!$B$4,"Time","Manual"))))</f>
        <v/>
      </c>
      <c r="M113" s="3" t="str">
        <f>IF(F113="","",F113*(1+Settings!$B$2))</f>
        <v/>
      </c>
      <c r="N113" s="3" t="str">
        <f>IF(F113="","",F113*(1-Settings!$B$3))</f>
        <v/>
      </c>
      <c r="O113" s="3" t="str">
        <f>IF(E113="","",E113+Settings!$B$4)</f>
        <v/>
      </c>
      <c r="P113" s="3" t="str">
        <f t="shared" si="13"/>
        <v/>
      </c>
      <c r="Q113" s="3" t="str">
        <f t="shared" si="14"/>
        <v/>
      </c>
      <c r="R113" s="3" t="str">
        <f t="shared" ca="1" si="15"/>
        <v/>
      </c>
      <c r="S113" s="3" t="str">
        <f t="shared" ca="1" si="16"/>
        <v/>
      </c>
      <c r="T113" s="3" t="str">
        <f t="shared" si="17"/>
        <v/>
      </c>
      <c r="U113" s="3" t="str">
        <f t="shared" si="18"/>
        <v/>
      </c>
      <c r="V113" s="3" t="str">
        <f t="shared" si="19"/>
        <v/>
      </c>
      <c r="W113" s="3" t="str">
        <f t="shared" ca="1" si="20"/>
        <v/>
      </c>
      <c r="X113" s="3" t="str">
        <f t="shared" ca="1" si="21"/>
        <v/>
      </c>
      <c r="Y113" s="2"/>
    </row>
    <row r="114" spans="1:25">
      <c r="A114" s="3" t="str">
        <f t="shared" si="11"/>
        <v/>
      </c>
      <c r="B114" s="3" t="str">
        <f t="shared" si="12"/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3" t="str">
        <f>IF(B114&lt;&gt;"Closed","",IF(K114&gt;=M114,"Target",IF(K114&lt;=N114,"Stop",IF(R114&gt;=Settings!$B$4,"Time","Manual"))))</f>
        <v/>
      </c>
      <c r="M114" s="3" t="str">
        <f>IF(F114="","",F114*(1+Settings!$B$2))</f>
        <v/>
      </c>
      <c r="N114" s="3" t="str">
        <f>IF(F114="","",F114*(1-Settings!$B$3))</f>
        <v/>
      </c>
      <c r="O114" s="3" t="str">
        <f>IF(E114="","",E114+Settings!$B$4)</f>
        <v/>
      </c>
      <c r="P114" s="3" t="str">
        <f t="shared" si="13"/>
        <v/>
      </c>
      <c r="Q114" s="3" t="str">
        <f t="shared" si="14"/>
        <v/>
      </c>
      <c r="R114" s="3" t="str">
        <f t="shared" ca="1" si="15"/>
        <v/>
      </c>
      <c r="S114" s="3" t="str">
        <f t="shared" ca="1" si="16"/>
        <v/>
      </c>
      <c r="T114" s="3" t="str">
        <f t="shared" si="17"/>
        <v/>
      </c>
      <c r="U114" s="3" t="str">
        <f t="shared" si="18"/>
        <v/>
      </c>
      <c r="V114" s="3" t="str">
        <f t="shared" si="19"/>
        <v/>
      </c>
      <c r="W114" s="3" t="str">
        <f t="shared" ca="1" si="20"/>
        <v/>
      </c>
      <c r="X114" s="3" t="str">
        <f t="shared" ca="1" si="21"/>
        <v/>
      </c>
      <c r="Y114" s="2"/>
    </row>
    <row r="115" spans="1:25">
      <c r="A115" s="3" t="str">
        <f t="shared" si="11"/>
        <v/>
      </c>
      <c r="B115" s="3" t="str">
        <f t="shared" si="12"/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3" t="str">
        <f>IF(B115&lt;&gt;"Closed","",IF(K115&gt;=M115,"Target",IF(K115&lt;=N115,"Stop",IF(R115&gt;=Settings!$B$4,"Time","Manual"))))</f>
        <v/>
      </c>
      <c r="M115" s="3" t="str">
        <f>IF(F115="","",F115*(1+Settings!$B$2))</f>
        <v/>
      </c>
      <c r="N115" s="3" t="str">
        <f>IF(F115="","",F115*(1-Settings!$B$3))</f>
        <v/>
      </c>
      <c r="O115" s="3" t="str">
        <f>IF(E115="","",E115+Settings!$B$4)</f>
        <v/>
      </c>
      <c r="P115" s="3" t="str">
        <f t="shared" si="13"/>
        <v/>
      </c>
      <c r="Q115" s="3" t="str">
        <f t="shared" si="14"/>
        <v/>
      </c>
      <c r="R115" s="3" t="str">
        <f t="shared" ca="1" si="15"/>
        <v/>
      </c>
      <c r="S115" s="3" t="str">
        <f t="shared" ca="1" si="16"/>
        <v/>
      </c>
      <c r="T115" s="3" t="str">
        <f t="shared" si="17"/>
        <v/>
      </c>
      <c r="U115" s="3" t="str">
        <f t="shared" si="18"/>
        <v/>
      </c>
      <c r="V115" s="3" t="str">
        <f t="shared" si="19"/>
        <v/>
      </c>
      <c r="W115" s="3" t="str">
        <f t="shared" ca="1" si="20"/>
        <v/>
      </c>
      <c r="X115" s="3" t="str">
        <f t="shared" ca="1" si="21"/>
        <v/>
      </c>
      <c r="Y115" s="2"/>
    </row>
    <row r="116" spans="1:25">
      <c r="A116" s="3" t="str">
        <f t="shared" si="11"/>
        <v/>
      </c>
      <c r="B116" s="3" t="str">
        <f t="shared" si="12"/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3" t="str">
        <f>IF(B116&lt;&gt;"Closed","",IF(K116&gt;=M116,"Target",IF(K116&lt;=N116,"Stop",IF(R116&gt;=Settings!$B$4,"Time","Manual"))))</f>
        <v/>
      </c>
      <c r="M116" s="3" t="str">
        <f>IF(F116="","",F116*(1+Settings!$B$2))</f>
        <v/>
      </c>
      <c r="N116" s="3" t="str">
        <f>IF(F116="","",F116*(1-Settings!$B$3))</f>
        <v/>
      </c>
      <c r="O116" s="3" t="str">
        <f>IF(E116="","",E116+Settings!$B$4)</f>
        <v/>
      </c>
      <c r="P116" s="3" t="str">
        <f t="shared" si="13"/>
        <v/>
      </c>
      <c r="Q116" s="3" t="str">
        <f t="shared" si="14"/>
        <v/>
      </c>
      <c r="R116" s="3" t="str">
        <f t="shared" ca="1" si="15"/>
        <v/>
      </c>
      <c r="S116" s="3" t="str">
        <f t="shared" ca="1" si="16"/>
        <v/>
      </c>
      <c r="T116" s="3" t="str">
        <f t="shared" si="17"/>
        <v/>
      </c>
      <c r="U116" s="3" t="str">
        <f t="shared" si="18"/>
        <v/>
      </c>
      <c r="V116" s="3" t="str">
        <f t="shared" si="19"/>
        <v/>
      </c>
      <c r="W116" s="3" t="str">
        <f t="shared" ca="1" si="20"/>
        <v/>
      </c>
      <c r="X116" s="3" t="str">
        <f t="shared" ca="1" si="21"/>
        <v/>
      </c>
      <c r="Y116" s="2"/>
    </row>
    <row r="117" spans="1:25">
      <c r="A117" s="3" t="str">
        <f t="shared" si="11"/>
        <v/>
      </c>
      <c r="B117" s="3" t="str">
        <f t="shared" si="12"/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3" t="str">
        <f>IF(B117&lt;&gt;"Closed","",IF(K117&gt;=M117,"Target",IF(K117&lt;=N117,"Stop",IF(R117&gt;=Settings!$B$4,"Time","Manual"))))</f>
        <v/>
      </c>
      <c r="M117" s="3" t="str">
        <f>IF(F117="","",F117*(1+Settings!$B$2))</f>
        <v/>
      </c>
      <c r="N117" s="3" t="str">
        <f>IF(F117="","",F117*(1-Settings!$B$3))</f>
        <v/>
      </c>
      <c r="O117" s="3" t="str">
        <f>IF(E117="","",E117+Settings!$B$4)</f>
        <v/>
      </c>
      <c r="P117" s="3" t="str">
        <f t="shared" si="13"/>
        <v/>
      </c>
      <c r="Q117" s="3" t="str">
        <f t="shared" si="14"/>
        <v/>
      </c>
      <c r="R117" s="3" t="str">
        <f t="shared" ca="1" si="15"/>
        <v/>
      </c>
      <c r="S117" s="3" t="str">
        <f t="shared" ca="1" si="16"/>
        <v/>
      </c>
      <c r="T117" s="3" t="str">
        <f t="shared" si="17"/>
        <v/>
      </c>
      <c r="U117" s="3" t="str">
        <f t="shared" si="18"/>
        <v/>
      </c>
      <c r="V117" s="3" t="str">
        <f t="shared" si="19"/>
        <v/>
      </c>
      <c r="W117" s="3" t="str">
        <f t="shared" ca="1" si="20"/>
        <v/>
      </c>
      <c r="X117" s="3" t="str">
        <f t="shared" ca="1" si="21"/>
        <v/>
      </c>
      <c r="Y117" s="2"/>
    </row>
    <row r="118" spans="1:25">
      <c r="A118" s="3" t="str">
        <f t="shared" si="11"/>
        <v/>
      </c>
      <c r="B118" s="3" t="str">
        <f t="shared" si="12"/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3" t="str">
        <f>IF(B118&lt;&gt;"Closed","",IF(K118&gt;=M118,"Target",IF(K118&lt;=N118,"Stop",IF(R118&gt;=Settings!$B$4,"Time","Manual"))))</f>
        <v/>
      </c>
      <c r="M118" s="3" t="str">
        <f>IF(F118="","",F118*(1+Settings!$B$2))</f>
        <v/>
      </c>
      <c r="N118" s="3" t="str">
        <f>IF(F118="","",F118*(1-Settings!$B$3))</f>
        <v/>
      </c>
      <c r="O118" s="3" t="str">
        <f>IF(E118="","",E118+Settings!$B$4)</f>
        <v/>
      </c>
      <c r="P118" s="3" t="str">
        <f t="shared" si="13"/>
        <v/>
      </c>
      <c r="Q118" s="3" t="str">
        <f t="shared" si="14"/>
        <v/>
      </c>
      <c r="R118" s="3" t="str">
        <f t="shared" ca="1" si="15"/>
        <v/>
      </c>
      <c r="S118" s="3" t="str">
        <f t="shared" ca="1" si="16"/>
        <v/>
      </c>
      <c r="T118" s="3" t="str">
        <f t="shared" si="17"/>
        <v/>
      </c>
      <c r="U118" s="3" t="str">
        <f t="shared" si="18"/>
        <v/>
      </c>
      <c r="V118" s="3" t="str">
        <f t="shared" si="19"/>
        <v/>
      </c>
      <c r="W118" s="3" t="str">
        <f t="shared" ca="1" si="20"/>
        <v/>
      </c>
      <c r="X118" s="3" t="str">
        <f t="shared" ca="1" si="21"/>
        <v/>
      </c>
      <c r="Y118" s="2"/>
    </row>
    <row r="119" spans="1:25">
      <c r="A119" s="3" t="str">
        <f t="shared" si="11"/>
        <v/>
      </c>
      <c r="B119" s="3" t="str">
        <f t="shared" si="12"/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3" t="str">
        <f>IF(B119&lt;&gt;"Closed","",IF(K119&gt;=M119,"Target",IF(K119&lt;=N119,"Stop",IF(R119&gt;=Settings!$B$4,"Time","Manual"))))</f>
        <v/>
      </c>
      <c r="M119" s="3" t="str">
        <f>IF(F119="","",F119*(1+Settings!$B$2))</f>
        <v/>
      </c>
      <c r="N119" s="3" t="str">
        <f>IF(F119="","",F119*(1-Settings!$B$3))</f>
        <v/>
      </c>
      <c r="O119" s="3" t="str">
        <f>IF(E119="","",E119+Settings!$B$4)</f>
        <v/>
      </c>
      <c r="P119" s="3" t="str">
        <f t="shared" si="13"/>
        <v/>
      </c>
      <c r="Q119" s="3" t="str">
        <f t="shared" si="14"/>
        <v/>
      </c>
      <c r="R119" s="3" t="str">
        <f t="shared" ca="1" si="15"/>
        <v/>
      </c>
      <c r="S119" s="3" t="str">
        <f t="shared" ca="1" si="16"/>
        <v/>
      </c>
      <c r="T119" s="3" t="str">
        <f t="shared" si="17"/>
        <v/>
      </c>
      <c r="U119" s="3" t="str">
        <f t="shared" si="18"/>
        <v/>
      </c>
      <c r="V119" s="3" t="str">
        <f t="shared" si="19"/>
        <v/>
      </c>
      <c r="W119" s="3" t="str">
        <f t="shared" ca="1" si="20"/>
        <v/>
      </c>
      <c r="X119" s="3" t="str">
        <f t="shared" ca="1" si="21"/>
        <v/>
      </c>
      <c r="Y119" s="2"/>
    </row>
    <row r="120" spans="1:25">
      <c r="A120" s="3" t="str">
        <f t="shared" si="11"/>
        <v/>
      </c>
      <c r="B120" s="3" t="str">
        <f t="shared" si="12"/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3" t="str">
        <f>IF(B120&lt;&gt;"Closed","",IF(K120&gt;=M120,"Target",IF(K120&lt;=N120,"Stop",IF(R120&gt;=Settings!$B$4,"Time","Manual"))))</f>
        <v/>
      </c>
      <c r="M120" s="3" t="str">
        <f>IF(F120="","",F120*(1+Settings!$B$2))</f>
        <v/>
      </c>
      <c r="N120" s="3" t="str">
        <f>IF(F120="","",F120*(1-Settings!$B$3))</f>
        <v/>
      </c>
      <c r="O120" s="3" t="str">
        <f>IF(E120="","",E120+Settings!$B$4)</f>
        <v/>
      </c>
      <c r="P120" s="3" t="str">
        <f t="shared" si="13"/>
        <v/>
      </c>
      <c r="Q120" s="3" t="str">
        <f t="shared" si="14"/>
        <v/>
      </c>
      <c r="R120" s="3" t="str">
        <f t="shared" ca="1" si="15"/>
        <v/>
      </c>
      <c r="S120" s="3" t="str">
        <f t="shared" ca="1" si="16"/>
        <v/>
      </c>
      <c r="T120" s="3" t="str">
        <f t="shared" si="17"/>
        <v/>
      </c>
      <c r="U120" s="3" t="str">
        <f t="shared" si="18"/>
        <v/>
      </c>
      <c r="V120" s="3" t="str">
        <f t="shared" si="19"/>
        <v/>
      </c>
      <c r="W120" s="3" t="str">
        <f t="shared" ca="1" si="20"/>
        <v/>
      </c>
      <c r="X120" s="3" t="str">
        <f t="shared" ca="1" si="21"/>
        <v/>
      </c>
      <c r="Y120" s="2"/>
    </row>
    <row r="121" spans="1:25">
      <c r="A121" s="3" t="str">
        <f t="shared" si="11"/>
        <v/>
      </c>
      <c r="B121" s="3" t="str">
        <f t="shared" si="12"/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3" t="str">
        <f>IF(B121&lt;&gt;"Closed","",IF(K121&gt;=M121,"Target",IF(K121&lt;=N121,"Stop",IF(R121&gt;=Settings!$B$4,"Time","Manual"))))</f>
        <v/>
      </c>
      <c r="M121" s="3" t="str">
        <f>IF(F121="","",F121*(1+Settings!$B$2))</f>
        <v/>
      </c>
      <c r="N121" s="3" t="str">
        <f>IF(F121="","",F121*(1-Settings!$B$3))</f>
        <v/>
      </c>
      <c r="O121" s="3" t="str">
        <f>IF(E121="","",E121+Settings!$B$4)</f>
        <v/>
      </c>
      <c r="P121" s="3" t="str">
        <f t="shared" si="13"/>
        <v/>
      </c>
      <c r="Q121" s="3" t="str">
        <f t="shared" si="14"/>
        <v/>
      </c>
      <c r="R121" s="3" t="str">
        <f t="shared" ca="1" si="15"/>
        <v/>
      </c>
      <c r="S121" s="3" t="str">
        <f t="shared" ca="1" si="16"/>
        <v/>
      </c>
      <c r="T121" s="3" t="str">
        <f t="shared" si="17"/>
        <v/>
      </c>
      <c r="U121" s="3" t="str">
        <f t="shared" si="18"/>
        <v/>
      </c>
      <c r="V121" s="3" t="str">
        <f t="shared" si="19"/>
        <v/>
      </c>
      <c r="W121" s="3" t="str">
        <f t="shared" ca="1" si="20"/>
        <v/>
      </c>
      <c r="X121" s="3" t="str">
        <f t="shared" ca="1" si="21"/>
        <v/>
      </c>
      <c r="Y121" s="2"/>
    </row>
    <row r="122" spans="1:25">
      <c r="A122" s="3" t="str">
        <f t="shared" si="11"/>
        <v/>
      </c>
      <c r="B122" s="3" t="str">
        <f t="shared" si="12"/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3" t="str">
        <f>IF(B122&lt;&gt;"Closed","",IF(K122&gt;=M122,"Target",IF(K122&lt;=N122,"Stop",IF(R122&gt;=Settings!$B$4,"Time","Manual"))))</f>
        <v/>
      </c>
      <c r="M122" s="3" t="str">
        <f>IF(F122="","",F122*(1+Settings!$B$2))</f>
        <v/>
      </c>
      <c r="N122" s="3" t="str">
        <f>IF(F122="","",F122*(1-Settings!$B$3))</f>
        <v/>
      </c>
      <c r="O122" s="3" t="str">
        <f>IF(E122="","",E122+Settings!$B$4)</f>
        <v/>
      </c>
      <c r="P122" s="3" t="str">
        <f t="shared" si="13"/>
        <v/>
      </c>
      <c r="Q122" s="3" t="str">
        <f t="shared" si="14"/>
        <v/>
      </c>
      <c r="R122" s="3" t="str">
        <f t="shared" ca="1" si="15"/>
        <v/>
      </c>
      <c r="S122" s="3" t="str">
        <f t="shared" ca="1" si="16"/>
        <v/>
      </c>
      <c r="T122" s="3" t="str">
        <f t="shared" si="17"/>
        <v/>
      </c>
      <c r="U122" s="3" t="str">
        <f t="shared" si="18"/>
        <v/>
      </c>
      <c r="V122" s="3" t="str">
        <f t="shared" si="19"/>
        <v/>
      </c>
      <c r="W122" s="3" t="str">
        <f t="shared" ca="1" si="20"/>
        <v/>
      </c>
      <c r="X122" s="3" t="str">
        <f t="shared" ca="1" si="21"/>
        <v/>
      </c>
      <c r="Y122" s="2"/>
    </row>
    <row r="123" spans="1:25">
      <c r="A123" s="3" t="str">
        <f t="shared" si="11"/>
        <v/>
      </c>
      <c r="B123" s="3" t="str">
        <f t="shared" si="12"/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3" t="str">
        <f>IF(B123&lt;&gt;"Closed","",IF(K123&gt;=M123,"Target",IF(K123&lt;=N123,"Stop",IF(R123&gt;=Settings!$B$4,"Time","Manual"))))</f>
        <v/>
      </c>
      <c r="M123" s="3" t="str">
        <f>IF(F123="","",F123*(1+Settings!$B$2))</f>
        <v/>
      </c>
      <c r="N123" s="3" t="str">
        <f>IF(F123="","",F123*(1-Settings!$B$3))</f>
        <v/>
      </c>
      <c r="O123" s="3" t="str">
        <f>IF(E123="","",E123+Settings!$B$4)</f>
        <v/>
      </c>
      <c r="P123" s="3" t="str">
        <f t="shared" si="13"/>
        <v/>
      </c>
      <c r="Q123" s="3" t="str">
        <f t="shared" si="14"/>
        <v/>
      </c>
      <c r="R123" s="3" t="str">
        <f t="shared" ca="1" si="15"/>
        <v/>
      </c>
      <c r="S123" s="3" t="str">
        <f t="shared" ca="1" si="16"/>
        <v/>
      </c>
      <c r="T123" s="3" t="str">
        <f t="shared" si="17"/>
        <v/>
      </c>
      <c r="U123" s="3" t="str">
        <f t="shared" si="18"/>
        <v/>
      </c>
      <c r="V123" s="3" t="str">
        <f t="shared" si="19"/>
        <v/>
      </c>
      <c r="W123" s="3" t="str">
        <f t="shared" ca="1" si="20"/>
        <v/>
      </c>
      <c r="X123" s="3" t="str">
        <f t="shared" ca="1" si="21"/>
        <v/>
      </c>
      <c r="Y123" s="2"/>
    </row>
    <row r="124" spans="1:25">
      <c r="A124" s="3" t="str">
        <f t="shared" si="11"/>
        <v/>
      </c>
      <c r="B124" s="3" t="str">
        <f t="shared" si="12"/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3" t="str">
        <f>IF(B124&lt;&gt;"Closed","",IF(K124&gt;=M124,"Target",IF(K124&lt;=N124,"Stop",IF(R124&gt;=Settings!$B$4,"Time","Manual"))))</f>
        <v/>
      </c>
      <c r="M124" s="3" t="str">
        <f>IF(F124="","",F124*(1+Settings!$B$2))</f>
        <v/>
      </c>
      <c r="N124" s="3" t="str">
        <f>IF(F124="","",F124*(1-Settings!$B$3))</f>
        <v/>
      </c>
      <c r="O124" s="3" t="str">
        <f>IF(E124="","",E124+Settings!$B$4)</f>
        <v/>
      </c>
      <c r="P124" s="3" t="str">
        <f t="shared" si="13"/>
        <v/>
      </c>
      <c r="Q124" s="3" t="str">
        <f t="shared" si="14"/>
        <v/>
      </c>
      <c r="R124" s="3" t="str">
        <f t="shared" ca="1" si="15"/>
        <v/>
      </c>
      <c r="S124" s="3" t="str">
        <f t="shared" ca="1" si="16"/>
        <v/>
      </c>
      <c r="T124" s="3" t="str">
        <f t="shared" si="17"/>
        <v/>
      </c>
      <c r="U124" s="3" t="str">
        <f t="shared" si="18"/>
        <v/>
      </c>
      <c r="V124" s="3" t="str">
        <f t="shared" si="19"/>
        <v/>
      </c>
      <c r="W124" s="3" t="str">
        <f t="shared" ca="1" si="20"/>
        <v/>
      </c>
      <c r="X124" s="3" t="str">
        <f t="shared" ca="1" si="21"/>
        <v/>
      </c>
      <c r="Y124" s="2"/>
    </row>
    <row r="125" spans="1:25">
      <c r="A125" s="3" t="str">
        <f t="shared" si="11"/>
        <v/>
      </c>
      <c r="B125" s="3" t="str">
        <f t="shared" si="12"/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3" t="str">
        <f>IF(B125&lt;&gt;"Closed","",IF(K125&gt;=M125,"Target",IF(K125&lt;=N125,"Stop",IF(R125&gt;=Settings!$B$4,"Time","Manual"))))</f>
        <v/>
      </c>
      <c r="M125" s="3" t="str">
        <f>IF(F125="","",F125*(1+Settings!$B$2))</f>
        <v/>
      </c>
      <c r="N125" s="3" t="str">
        <f>IF(F125="","",F125*(1-Settings!$B$3))</f>
        <v/>
      </c>
      <c r="O125" s="3" t="str">
        <f>IF(E125="","",E125+Settings!$B$4)</f>
        <v/>
      </c>
      <c r="P125" s="3" t="str">
        <f t="shared" si="13"/>
        <v/>
      </c>
      <c r="Q125" s="3" t="str">
        <f t="shared" si="14"/>
        <v/>
      </c>
      <c r="R125" s="3" t="str">
        <f t="shared" ca="1" si="15"/>
        <v/>
      </c>
      <c r="S125" s="3" t="str">
        <f t="shared" ca="1" si="16"/>
        <v/>
      </c>
      <c r="T125" s="3" t="str">
        <f t="shared" si="17"/>
        <v/>
      </c>
      <c r="U125" s="3" t="str">
        <f t="shared" si="18"/>
        <v/>
      </c>
      <c r="V125" s="3" t="str">
        <f t="shared" si="19"/>
        <v/>
      </c>
      <c r="W125" s="3" t="str">
        <f t="shared" ca="1" si="20"/>
        <v/>
      </c>
      <c r="X125" s="3" t="str">
        <f t="shared" ca="1" si="21"/>
        <v/>
      </c>
      <c r="Y125" s="2"/>
    </row>
    <row r="126" spans="1:25">
      <c r="A126" s="3" t="str">
        <f t="shared" si="11"/>
        <v/>
      </c>
      <c r="B126" s="3" t="str">
        <f t="shared" si="12"/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3" t="str">
        <f>IF(B126&lt;&gt;"Closed","",IF(K126&gt;=M126,"Target",IF(K126&lt;=N126,"Stop",IF(R126&gt;=Settings!$B$4,"Time","Manual"))))</f>
        <v/>
      </c>
      <c r="M126" s="3" t="str">
        <f>IF(F126="","",F126*(1+Settings!$B$2))</f>
        <v/>
      </c>
      <c r="N126" s="3" t="str">
        <f>IF(F126="","",F126*(1-Settings!$B$3))</f>
        <v/>
      </c>
      <c r="O126" s="3" t="str">
        <f>IF(E126="","",E126+Settings!$B$4)</f>
        <v/>
      </c>
      <c r="P126" s="3" t="str">
        <f t="shared" si="13"/>
        <v/>
      </c>
      <c r="Q126" s="3" t="str">
        <f t="shared" si="14"/>
        <v/>
      </c>
      <c r="R126" s="3" t="str">
        <f t="shared" ca="1" si="15"/>
        <v/>
      </c>
      <c r="S126" s="3" t="str">
        <f t="shared" ca="1" si="16"/>
        <v/>
      </c>
      <c r="T126" s="3" t="str">
        <f t="shared" si="17"/>
        <v/>
      </c>
      <c r="U126" s="3" t="str">
        <f t="shared" si="18"/>
        <v/>
      </c>
      <c r="V126" s="3" t="str">
        <f t="shared" si="19"/>
        <v/>
      </c>
      <c r="W126" s="3" t="str">
        <f t="shared" ca="1" si="20"/>
        <v/>
      </c>
      <c r="X126" s="3" t="str">
        <f t="shared" ca="1" si="21"/>
        <v/>
      </c>
      <c r="Y126" s="2"/>
    </row>
    <row r="127" spans="1:25">
      <c r="A127" s="3" t="str">
        <f t="shared" si="11"/>
        <v/>
      </c>
      <c r="B127" s="3" t="str">
        <f t="shared" si="12"/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3" t="str">
        <f>IF(B127&lt;&gt;"Closed","",IF(K127&gt;=M127,"Target",IF(K127&lt;=N127,"Stop",IF(R127&gt;=Settings!$B$4,"Time","Manual"))))</f>
        <v/>
      </c>
      <c r="M127" s="3" t="str">
        <f>IF(F127="","",F127*(1+Settings!$B$2))</f>
        <v/>
      </c>
      <c r="N127" s="3" t="str">
        <f>IF(F127="","",F127*(1-Settings!$B$3))</f>
        <v/>
      </c>
      <c r="O127" s="3" t="str">
        <f>IF(E127="","",E127+Settings!$B$4)</f>
        <v/>
      </c>
      <c r="P127" s="3" t="str">
        <f t="shared" si="13"/>
        <v/>
      </c>
      <c r="Q127" s="3" t="str">
        <f t="shared" si="14"/>
        <v/>
      </c>
      <c r="R127" s="3" t="str">
        <f t="shared" ca="1" si="15"/>
        <v/>
      </c>
      <c r="S127" s="3" t="str">
        <f t="shared" ca="1" si="16"/>
        <v/>
      </c>
      <c r="T127" s="3" t="str">
        <f t="shared" si="17"/>
        <v/>
      </c>
      <c r="U127" s="3" t="str">
        <f t="shared" si="18"/>
        <v/>
      </c>
      <c r="V127" s="3" t="str">
        <f t="shared" si="19"/>
        <v/>
      </c>
      <c r="W127" s="3" t="str">
        <f t="shared" ca="1" si="20"/>
        <v/>
      </c>
      <c r="X127" s="3" t="str">
        <f t="shared" ca="1" si="21"/>
        <v/>
      </c>
      <c r="Y127" s="2"/>
    </row>
    <row r="128" spans="1:25">
      <c r="A128" s="3" t="str">
        <f t="shared" si="11"/>
        <v/>
      </c>
      <c r="B128" s="3" t="str">
        <f t="shared" si="12"/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3" t="str">
        <f>IF(B128&lt;&gt;"Closed","",IF(K128&gt;=M128,"Target",IF(K128&lt;=N128,"Stop",IF(R128&gt;=Settings!$B$4,"Time","Manual"))))</f>
        <v/>
      </c>
      <c r="M128" s="3" t="str">
        <f>IF(F128="","",F128*(1+Settings!$B$2))</f>
        <v/>
      </c>
      <c r="N128" s="3" t="str">
        <f>IF(F128="","",F128*(1-Settings!$B$3))</f>
        <v/>
      </c>
      <c r="O128" s="3" t="str">
        <f>IF(E128="","",E128+Settings!$B$4)</f>
        <v/>
      </c>
      <c r="P128" s="3" t="str">
        <f t="shared" si="13"/>
        <v/>
      </c>
      <c r="Q128" s="3" t="str">
        <f t="shared" si="14"/>
        <v/>
      </c>
      <c r="R128" s="3" t="str">
        <f t="shared" ca="1" si="15"/>
        <v/>
      </c>
      <c r="S128" s="3" t="str">
        <f t="shared" ca="1" si="16"/>
        <v/>
      </c>
      <c r="T128" s="3" t="str">
        <f t="shared" si="17"/>
        <v/>
      </c>
      <c r="U128" s="3" t="str">
        <f t="shared" si="18"/>
        <v/>
      </c>
      <c r="V128" s="3" t="str">
        <f t="shared" si="19"/>
        <v/>
      </c>
      <c r="W128" s="3" t="str">
        <f t="shared" ca="1" si="20"/>
        <v/>
      </c>
      <c r="X128" s="3" t="str">
        <f t="shared" ca="1" si="21"/>
        <v/>
      </c>
      <c r="Y128" s="2"/>
    </row>
    <row r="129" spans="1:25">
      <c r="A129" s="3" t="str">
        <f t="shared" si="11"/>
        <v/>
      </c>
      <c r="B129" s="3" t="str">
        <f t="shared" si="12"/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3" t="str">
        <f>IF(B129&lt;&gt;"Closed","",IF(K129&gt;=M129,"Target",IF(K129&lt;=N129,"Stop",IF(R129&gt;=Settings!$B$4,"Time","Manual"))))</f>
        <v/>
      </c>
      <c r="M129" s="3" t="str">
        <f>IF(F129="","",F129*(1+Settings!$B$2))</f>
        <v/>
      </c>
      <c r="N129" s="3" t="str">
        <f>IF(F129="","",F129*(1-Settings!$B$3))</f>
        <v/>
      </c>
      <c r="O129" s="3" t="str">
        <f>IF(E129="","",E129+Settings!$B$4)</f>
        <v/>
      </c>
      <c r="P129" s="3" t="str">
        <f t="shared" si="13"/>
        <v/>
      </c>
      <c r="Q129" s="3" t="str">
        <f t="shared" si="14"/>
        <v/>
      </c>
      <c r="R129" s="3" t="str">
        <f t="shared" ca="1" si="15"/>
        <v/>
      </c>
      <c r="S129" s="3" t="str">
        <f t="shared" ca="1" si="16"/>
        <v/>
      </c>
      <c r="T129" s="3" t="str">
        <f t="shared" si="17"/>
        <v/>
      </c>
      <c r="U129" s="3" t="str">
        <f t="shared" si="18"/>
        <v/>
      </c>
      <c r="V129" s="3" t="str">
        <f t="shared" si="19"/>
        <v/>
      </c>
      <c r="W129" s="3" t="str">
        <f t="shared" ca="1" si="20"/>
        <v/>
      </c>
      <c r="X129" s="3" t="str">
        <f t="shared" ca="1" si="21"/>
        <v/>
      </c>
      <c r="Y129" s="2"/>
    </row>
    <row r="130" spans="1:25">
      <c r="A130" s="3" t="str">
        <f t="shared" ref="A130:A193" si="22">IF(C130="","",ROW()-1)</f>
        <v/>
      </c>
      <c r="B130" s="3" t="str">
        <f t="shared" ref="B130:B193" si="23">IF(AND(J130&lt;&gt;"",K130&lt;&gt;""),"Closed",IF(AND(C130&lt;&gt;"",E130&lt;&gt;"",F130&lt;&gt;""),"Open",""))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3" t="str">
        <f>IF(B130&lt;&gt;"Closed","",IF(K130&gt;=M130,"Target",IF(K130&lt;=N130,"Stop",IF(R130&gt;=Settings!$B$4,"Time","Manual"))))</f>
        <v/>
      </c>
      <c r="M130" s="3" t="str">
        <f>IF(F130="","",F130*(1+Settings!$B$2))</f>
        <v/>
      </c>
      <c r="N130" s="3" t="str">
        <f>IF(F130="","",F130*(1-Settings!$B$3))</f>
        <v/>
      </c>
      <c r="O130" s="3" t="str">
        <f>IF(E130="","",E130+Settings!$B$4)</f>
        <v/>
      </c>
      <c r="P130" s="3" t="str">
        <f t="shared" ref="P130:P193" si="24">IF(B130="","",IF(B130="Closed",K130,IF(H130="","",H130)))</f>
        <v/>
      </c>
      <c r="Q130" s="3" t="str">
        <f t="shared" ref="Q130:Q193" si="25">IF(OR(B130="",F130="",P130=""),"",P130/F130-1)</f>
        <v/>
      </c>
      <c r="R130" s="3" t="str">
        <f t="shared" ref="R130:R193" ca="1" si="26">IF(E130="","",IF(B130="Closed",J130-E130,TODAY()-E130))</f>
        <v/>
      </c>
      <c r="S130" s="3" t="str">
        <f t="shared" ref="S130:S193" ca="1" si="27">IF(I130="","",TODAY()-I130)</f>
        <v/>
      </c>
      <c r="T130" s="3" t="str">
        <f t="shared" ref="T130:T193" si="28">IF(OR(F130="",G130=""),"",F130*G130)</f>
        <v/>
      </c>
      <c r="U130" s="3" t="str">
        <f t="shared" ref="U130:U193" si="29">IF(OR(B130="",P130="",G130=""),"",P130*G130)</f>
        <v/>
      </c>
      <c r="V130" s="3" t="str">
        <f t="shared" ref="V130:V193" si="30">IF(OR(B130="",P130="",F130="",G130=""),"",(P130-F130)*G130)</f>
        <v/>
      </c>
      <c r="W130" s="3" t="str">
        <f t="shared" ref="W130:W193" ca="1" si="31">IF(B130="Closed","CLOSED",IF(B130&lt;&gt;"Open","",IF(H130="","ENTER CURRENT PRICE",IF(H130&gt;=M130,"SELL - TARGET",IF(H130&lt;=N130,"SELL - STOP",IF(TODAY()&gt;=O130,"SELL - TIME","HOLD"))))))</f>
        <v/>
      </c>
      <c r="X130" s="3" t="str">
        <f t="shared" ref="X130:X193" ca="1" si="32">IF(W130="","",IF(W130="HOLD","Monitor",IF(W130="ENTER CURRENT PRICE","Update price",IF(W130="CLOSED","No action","Review / sell"))))</f>
        <v/>
      </c>
      <c r="Y130" s="2"/>
    </row>
    <row r="131" spans="1:25">
      <c r="A131" s="3" t="str">
        <f t="shared" si="22"/>
        <v/>
      </c>
      <c r="B131" s="3" t="str">
        <f t="shared" si="23"/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3" t="str">
        <f>IF(B131&lt;&gt;"Closed","",IF(K131&gt;=M131,"Target",IF(K131&lt;=N131,"Stop",IF(R131&gt;=Settings!$B$4,"Time","Manual"))))</f>
        <v/>
      </c>
      <c r="M131" s="3" t="str">
        <f>IF(F131="","",F131*(1+Settings!$B$2))</f>
        <v/>
      </c>
      <c r="N131" s="3" t="str">
        <f>IF(F131="","",F131*(1-Settings!$B$3))</f>
        <v/>
      </c>
      <c r="O131" s="3" t="str">
        <f>IF(E131="","",E131+Settings!$B$4)</f>
        <v/>
      </c>
      <c r="P131" s="3" t="str">
        <f t="shared" si="24"/>
        <v/>
      </c>
      <c r="Q131" s="3" t="str">
        <f t="shared" si="25"/>
        <v/>
      </c>
      <c r="R131" s="3" t="str">
        <f t="shared" ca="1" si="26"/>
        <v/>
      </c>
      <c r="S131" s="3" t="str">
        <f t="shared" ca="1" si="27"/>
        <v/>
      </c>
      <c r="T131" s="3" t="str">
        <f t="shared" si="28"/>
        <v/>
      </c>
      <c r="U131" s="3" t="str">
        <f t="shared" si="29"/>
        <v/>
      </c>
      <c r="V131" s="3" t="str">
        <f t="shared" si="30"/>
        <v/>
      </c>
      <c r="W131" s="3" t="str">
        <f t="shared" ca="1" si="31"/>
        <v/>
      </c>
      <c r="X131" s="3" t="str">
        <f t="shared" ca="1" si="32"/>
        <v/>
      </c>
      <c r="Y131" s="2"/>
    </row>
    <row r="132" spans="1:25">
      <c r="A132" s="3" t="str">
        <f t="shared" si="22"/>
        <v/>
      </c>
      <c r="B132" s="3" t="str">
        <f t="shared" si="23"/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3" t="str">
        <f>IF(B132&lt;&gt;"Closed","",IF(K132&gt;=M132,"Target",IF(K132&lt;=N132,"Stop",IF(R132&gt;=Settings!$B$4,"Time","Manual"))))</f>
        <v/>
      </c>
      <c r="M132" s="3" t="str">
        <f>IF(F132="","",F132*(1+Settings!$B$2))</f>
        <v/>
      </c>
      <c r="N132" s="3" t="str">
        <f>IF(F132="","",F132*(1-Settings!$B$3))</f>
        <v/>
      </c>
      <c r="O132" s="3" t="str">
        <f>IF(E132="","",E132+Settings!$B$4)</f>
        <v/>
      </c>
      <c r="P132" s="3" t="str">
        <f t="shared" si="24"/>
        <v/>
      </c>
      <c r="Q132" s="3" t="str">
        <f t="shared" si="25"/>
        <v/>
      </c>
      <c r="R132" s="3" t="str">
        <f t="shared" ca="1" si="26"/>
        <v/>
      </c>
      <c r="S132" s="3" t="str">
        <f t="shared" ca="1" si="27"/>
        <v/>
      </c>
      <c r="T132" s="3" t="str">
        <f t="shared" si="28"/>
        <v/>
      </c>
      <c r="U132" s="3" t="str">
        <f t="shared" si="29"/>
        <v/>
      </c>
      <c r="V132" s="3" t="str">
        <f t="shared" si="30"/>
        <v/>
      </c>
      <c r="W132" s="3" t="str">
        <f t="shared" ca="1" si="31"/>
        <v/>
      </c>
      <c r="X132" s="3" t="str">
        <f t="shared" ca="1" si="32"/>
        <v/>
      </c>
      <c r="Y132" s="2"/>
    </row>
    <row r="133" spans="1:25">
      <c r="A133" s="3" t="str">
        <f t="shared" si="22"/>
        <v/>
      </c>
      <c r="B133" s="3" t="str">
        <f t="shared" si="23"/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3" t="str">
        <f>IF(B133&lt;&gt;"Closed","",IF(K133&gt;=M133,"Target",IF(K133&lt;=N133,"Stop",IF(R133&gt;=Settings!$B$4,"Time","Manual"))))</f>
        <v/>
      </c>
      <c r="M133" s="3" t="str">
        <f>IF(F133="","",F133*(1+Settings!$B$2))</f>
        <v/>
      </c>
      <c r="N133" s="3" t="str">
        <f>IF(F133="","",F133*(1-Settings!$B$3))</f>
        <v/>
      </c>
      <c r="O133" s="3" t="str">
        <f>IF(E133="","",E133+Settings!$B$4)</f>
        <v/>
      </c>
      <c r="P133" s="3" t="str">
        <f t="shared" si="24"/>
        <v/>
      </c>
      <c r="Q133" s="3" t="str">
        <f t="shared" si="25"/>
        <v/>
      </c>
      <c r="R133" s="3" t="str">
        <f t="shared" ca="1" si="26"/>
        <v/>
      </c>
      <c r="S133" s="3" t="str">
        <f t="shared" ca="1" si="27"/>
        <v/>
      </c>
      <c r="T133" s="3" t="str">
        <f t="shared" si="28"/>
        <v/>
      </c>
      <c r="U133" s="3" t="str">
        <f t="shared" si="29"/>
        <v/>
      </c>
      <c r="V133" s="3" t="str">
        <f t="shared" si="30"/>
        <v/>
      </c>
      <c r="W133" s="3" t="str">
        <f t="shared" ca="1" si="31"/>
        <v/>
      </c>
      <c r="X133" s="3" t="str">
        <f t="shared" ca="1" si="32"/>
        <v/>
      </c>
      <c r="Y133" s="2"/>
    </row>
    <row r="134" spans="1:25">
      <c r="A134" s="3" t="str">
        <f t="shared" si="22"/>
        <v/>
      </c>
      <c r="B134" s="3" t="str">
        <f t="shared" si="23"/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3" t="str">
        <f>IF(B134&lt;&gt;"Closed","",IF(K134&gt;=M134,"Target",IF(K134&lt;=N134,"Stop",IF(R134&gt;=Settings!$B$4,"Time","Manual"))))</f>
        <v/>
      </c>
      <c r="M134" s="3" t="str">
        <f>IF(F134="","",F134*(1+Settings!$B$2))</f>
        <v/>
      </c>
      <c r="N134" s="3" t="str">
        <f>IF(F134="","",F134*(1-Settings!$B$3))</f>
        <v/>
      </c>
      <c r="O134" s="3" t="str">
        <f>IF(E134="","",E134+Settings!$B$4)</f>
        <v/>
      </c>
      <c r="P134" s="3" t="str">
        <f t="shared" si="24"/>
        <v/>
      </c>
      <c r="Q134" s="3" t="str">
        <f t="shared" si="25"/>
        <v/>
      </c>
      <c r="R134" s="3" t="str">
        <f t="shared" ca="1" si="26"/>
        <v/>
      </c>
      <c r="S134" s="3" t="str">
        <f t="shared" ca="1" si="27"/>
        <v/>
      </c>
      <c r="T134" s="3" t="str">
        <f t="shared" si="28"/>
        <v/>
      </c>
      <c r="U134" s="3" t="str">
        <f t="shared" si="29"/>
        <v/>
      </c>
      <c r="V134" s="3" t="str">
        <f t="shared" si="30"/>
        <v/>
      </c>
      <c r="W134" s="3" t="str">
        <f t="shared" ca="1" si="31"/>
        <v/>
      </c>
      <c r="X134" s="3" t="str">
        <f t="shared" ca="1" si="32"/>
        <v/>
      </c>
      <c r="Y134" s="2"/>
    </row>
    <row r="135" spans="1:25">
      <c r="A135" s="3" t="str">
        <f t="shared" si="22"/>
        <v/>
      </c>
      <c r="B135" s="3" t="str">
        <f t="shared" si="23"/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3" t="str">
        <f>IF(B135&lt;&gt;"Closed","",IF(K135&gt;=M135,"Target",IF(K135&lt;=N135,"Stop",IF(R135&gt;=Settings!$B$4,"Time","Manual"))))</f>
        <v/>
      </c>
      <c r="M135" s="3" t="str">
        <f>IF(F135="","",F135*(1+Settings!$B$2))</f>
        <v/>
      </c>
      <c r="N135" s="3" t="str">
        <f>IF(F135="","",F135*(1-Settings!$B$3))</f>
        <v/>
      </c>
      <c r="O135" s="3" t="str">
        <f>IF(E135="","",E135+Settings!$B$4)</f>
        <v/>
      </c>
      <c r="P135" s="3" t="str">
        <f t="shared" si="24"/>
        <v/>
      </c>
      <c r="Q135" s="3" t="str">
        <f t="shared" si="25"/>
        <v/>
      </c>
      <c r="R135" s="3" t="str">
        <f t="shared" ca="1" si="26"/>
        <v/>
      </c>
      <c r="S135" s="3" t="str">
        <f t="shared" ca="1" si="27"/>
        <v/>
      </c>
      <c r="T135" s="3" t="str">
        <f t="shared" si="28"/>
        <v/>
      </c>
      <c r="U135" s="3" t="str">
        <f t="shared" si="29"/>
        <v/>
      </c>
      <c r="V135" s="3" t="str">
        <f t="shared" si="30"/>
        <v/>
      </c>
      <c r="W135" s="3" t="str">
        <f t="shared" ca="1" si="31"/>
        <v/>
      </c>
      <c r="X135" s="3" t="str">
        <f t="shared" ca="1" si="32"/>
        <v/>
      </c>
      <c r="Y135" s="2"/>
    </row>
    <row r="136" spans="1:25">
      <c r="A136" s="3" t="str">
        <f t="shared" si="22"/>
        <v/>
      </c>
      <c r="B136" s="3" t="str">
        <f t="shared" si="23"/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3" t="str">
        <f>IF(B136&lt;&gt;"Closed","",IF(K136&gt;=M136,"Target",IF(K136&lt;=N136,"Stop",IF(R136&gt;=Settings!$B$4,"Time","Manual"))))</f>
        <v/>
      </c>
      <c r="M136" s="3" t="str">
        <f>IF(F136="","",F136*(1+Settings!$B$2))</f>
        <v/>
      </c>
      <c r="N136" s="3" t="str">
        <f>IF(F136="","",F136*(1-Settings!$B$3))</f>
        <v/>
      </c>
      <c r="O136" s="3" t="str">
        <f>IF(E136="","",E136+Settings!$B$4)</f>
        <v/>
      </c>
      <c r="P136" s="3" t="str">
        <f t="shared" si="24"/>
        <v/>
      </c>
      <c r="Q136" s="3" t="str">
        <f t="shared" si="25"/>
        <v/>
      </c>
      <c r="R136" s="3" t="str">
        <f t="shared" ca="1" si="26"/>
        <v/>
      </c>
      <c r="S136" s="3" t="str">
        <f t="shared" ca="1" si="27"/>
        <v/>
      </c>
      <c r="T136" s="3" t="str">
        <f t="shared" si="28"/>
        <v/>
      </c>
      <c r="U136" s="3" t="str">
        <f t="shared" si="29"/>
        <v/>
      </c>
      <c r="V136" s="3" t="str">
        <f t="shared" si="30"/>
        <v/>
      </c>
      <c r="W136" s="3" t="str">
        <f t="shared" ca="1" si="31"/>
        <v/>
      </c>
      <c r="X136" s="3" t="str">
        <f t="shared" ca="1" si="32"/>
        <v/>
      </c>
      <c r="Y136" s="2"/>
    </row>
    <row r="137" spans="1:25">
      <c r="A137" s="3" t="str">
        <f t="shared" si="22"/>
        <v/>
      </c>
      <c r="B137" s="3" t="str">
        <f t="shared" si="23"/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3" t="str">
        <f>IF(B137&lt;&gt;"Closed","",IF(K137&gt;=M137,"Target",IF(K137&lt;=N137,"Stop",IF(R137&gt;=Settings!$B$4,"Time","Manual"))))</f>
        <v/>
      </c>
      <c r="M137" s="3" t="str">
        <f>IF(F137="","",F137*(1+Settings!$B$2))</f>
        <v/>
      </c>
      <c r="N137" s="3" t="str">
        <f>IF(F137="","",F137*(1-Settings!$B$3))</f>
        <v/>
      </c>
      <c r="O137" s="3" t="str">
        <f>IF(E137="","",E137+Settings!$B$4)</f>
        <v/>
      </c>
      <c r="P137" s="3" t="str">
        <f t="shared" si="24"/>
        <v/>
      </c>
      <c r="Q137" s="3" t="str">
        <f t="shared" si="25"/>
        <v/>
      </c>
      <c r="R137" s="3" t="str">
        <f t="shared" ca="1" si="26"/>
        <v/>
      </c>
      <c r="S137" s="3" t="str">
        <f t="shared" ca="1" si="27"/>
        <v/>
      </c>
      <c r="T137" s="3" t="str">
        <f t="shared" si="28"/>
        <v/>
      </c>
      <c r="U137" s="3" t="str">
        <f t="shared" si="29"/>
        <v/>
      </c>
      <c r="V137" s="3" t="str">
        <f t="shared" si="30"/>
        <v/>
      </c>
      <c r="W137" s="3" t="str">
        <f t="shared" ca="1" si="31"/>
        <v/>
      </c>
      <c r="X137" s="3" t="str">
        <f t="shared" ca="1" si="32"/>
        <v/>
      </c>
      <c r="Y137" s="2"/>
    </row>
    <row r="138" spans="1:25">
      <c r="A138" s="3" t="str">
        <f t="shared" si="22"/>
        <v/>
      </c>
      <c r="B138" s="3" t="str">
        <f t="shared" si="23"/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3" t="str">
        <f>IF(B138&lt;&gt;"Closed","",IF(K138&gt;=M138,"Target",IF(K138&lt;=N138,"Stop",IF(R138&gt;=Settings!$B$4,"Time","Manual"))))</f>
        <v/>
      </c>
      <c r="M138" s="3" t="str">
        <f>IF(F138="","",F138*(1+Settings!$B$2))</f>
        <v/>
      </c>
      <c r="N138" s="3" t="str">
        <f>IF(F138="","",F138*(1-Settings!$B$3))</f>
        <v/>
      </c>
      <c r="O138" s="3" t="str">
        <f>IF(E138="","",E138+Settings!$B$4)</f>
        <v/>
      </c>
      <c r="P138" s="3" t="str">
        <f t="shared" si="24"/>
        <v/>
      </c>
      <c r="Q138" s="3" t="str">
        <f t="shared" si="25"/>
        <v/>
      </c>
      <c r="R138" s="3" t="str">
        <f t="shared" ca="1" si="26"/>
        <v/>
      </c>
      <c r="S138" s="3" t="str">
        <f t="shared" ca="1" si="27"/>
        <v/>
      </c>
      <c r="T138" s="3" t="str">
        <f t="shared" si="28"/>
        <v/>
      </c>
      <c r="U138" s="3" t="str">
        <f t="shared" si="29"/>
        <v/>
      </c>
      <c r="V138" s="3" t="str">
        <f t="shared" si="30"/>
        <v/>
      </c>
      <c r="W138" s="3" t="str">
        <f t="shared" ca="1" si="31"/>
        <v/>
      </c>
      <c r="X138" s="3" t="str">
        <f t="shared" ca="1" si="32"/>
        <v/>
      </c>
      <c r="Y138" s="2"/>
    </row>
    <row r="139" spans="1:25">
      <c r="A139" s="3" t="str">
        <f t="shared" si="22"/>
        <v/>
      </c>
      <c r="B139" s="3" t="str">
        <f t="shared" si="23"/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3" t="str">
        <f>IF(B139&lt;&gt;"Closed","",IF(K139&gt;=M139,"Target",IF(K139&lt;=N139,"Stop",IF(R139&gt;=Settings!$B$4,"Time","Manual"))))</f>
        <v/>
      </c>
      <c r="M139" s="3" t="str">
        <f>IF(F139="","",F139*(1+Settings!$B$2))</f>
        <v/>
      </c>
      <c r="N139" s="3" t="str">
        <f>IF(F139="","",F139*(1-Settings!$B$3))</f>
        <v/>
      </c>
      <c r="O139" s="3" t="str">
        <f>IF(E139="","",E139+Settings!$B$4)</f>
        <v/>
      </c>
      <c r="P139" s="3" t="str">
        <f t="shared" si="24"/>
        <v/>
      </c>
      <c r="Q139" s="3" t="str">
        <f t="shared" si="25"/>
        <v/>
      </c>
      <c r="R139" s="3" t="str">
        <f t="shared" ca="1" si="26"/>
        <v/>
      </c>
      <c r="S139" s="3" t="str">
        <f t="shared" ca="1" si="27"/>
        <v/>
      </c>
      <c r="T139" s="3" t="str">
        <f t="shared" si="28"/>
        <v/>
      </c>
      <c r="U139" s="3" t="str">
        <f t="shared" si="29"/>
        <v/>
      </c>
      <c r="V139" s="3" t="str">
        <f t="shared" si="30"/>
        <v/>
      </c>
      <c r="W139" s="3" t="str">
        <f t="shared" ca="1" si="31"/>
        <v/>
      </c>
      <c r="X139" s="3" t="str">
        <f t="shared" ca="1" si="32"/>
        <v/>
      </c>
      <c r="Y139" s="2"/>
    </row>
    <row r="140" spans="1:25">
      <c r="A140" s="3" t="str">
        <f t="shared" si="22"/>
        <v/>
      </c>
      <c r="B140" s="3" t="str">
        <f t="shared" si="23"/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3" t="str">
        <f>IF(B140&lt;&gt;"Closed","",IF(K140&gt;=M140,"Target",IF(K140&lt;=N140,"Stop",IF(R140&gt;=Settings!$B$4,"Time","Manual"))))</f>
        <v/>
      </c>
      <c r="M140" s="3" t="str">
        <f>IF(F140="","",F140*(1+Settings!$B$2))</f>
        <v/>
      </c>
      <c r="N140" s="3" t="str">
        <f>IF(F140="","",F140*(1-Settings!$B$3))</f>
        <v/>
      </c>
      <c r="O140" s="3" t="str">
        <f>IF(E140="","",E140+Settings!$B$4)</f>
        <v/>
      </c>
      <c r="P140" s="3" t="str">
        <f t="shared" si="24"/>
        <v/>
      </c>
      <c r="Q140" s="3" t="str">
        <f t="shared" si="25"/>
        <v/>
      </c>
      <c r="R140" s="3" t="str">
        <f t="shared" ca="1" si="26"/>
        <v/>
      </c>
      <c r="S140" s="3" t="str">
        <f t="shared" ca="1" si="27"/>
        <v/>
      </c>
      <c r="T140" s="3" t="str">
        <f t="shared" si="28"/>
        <v/>
      </c>
      <c r="U140" s="3" t="str">
        <f t="shared" si="29"/>
        <v/>
      </c>
      <c r="V140" s="3" t="str">
        <f t="shared" si="30"/>
        <v/>
      </c>
      <c r="W140" s="3" t="str">
        <f t="shared" ca="1" si="31"/>
        <v/>
      </c>
      <c r="X140" s="3" t="str">
        <f t="shared" ca="1" si="32"/>
        <v/>
      </c>
      <c r="Y140" s="2"/>
    </row>
    <row r="141" spans="1:25">
      <c r="A141" s="3" t="str">
        <f t="shared" si="22"/>
        <v/>
      </c>
      <c r="B141" s="3" t="str">
        <f t="shared" si="23"/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3" t="str">
        <f>IF(B141&lt;&gt;"Closed","",IF(K141&gt;=M141,"Target",IF(K141&lt;=N141,"Stop",IF(R141&gt;=Settings!$B$4,"Time","Manual"))))</f>
        <v/>
      </c>
      <c r="M141" s="3" t="str">
        <f>IF(F141="","",F141*(1+Settings!$B$2))</f>
        <v/>
      </c>
      <c r="N141" s="3" t="str">
        <f>IF(F141="","",F141*(1-Settings!$B$3))</f>
        <v/>
      </c>
      <c r="O141" s="3" t="str">
        <f>IF(E141="","",E141+Settings!$B$4)</f>
        <v/>
      </c>
      <c r="P141" s="3" t="str">
        <f t="shared" si="24"/>
        <v/>
      </c>
      <c r="Q141" s="3" t="str">
        <f t="shared" si="25"/>
        <v/>
      </c>
      <c r="R141" s="3" t="str">
        <f t="shared" ca="1" si="26"/>
        <v/>
      </c>
      <c r="S141" s="3" t="str">
        <f t="shared" ca="1" si="27"/>
        <v/>
      </c>
      <c r="T141" s="3" t="str">
        <f t="shared" si="28"/>
        <v/>
      </c>
      <c r="U141" s="3" t="str">
        <f t="shared" si="29"/>
        <v/>
      </c>
      <c r="V141" s="3" t="str">
        <f t="shared" si="30"/>
        <v/>
      </c>
      <c r="W141" s="3" t="str">
        <f t="shared" ca="1" si="31"/>
        <v/>
      </c>
      <c r="X141" s="3" t="str">
        <f t="shared" ca="1" si="32"/>
        <v/>
      </c>
      <c r="Y141" s="2"/>
    </row>
    <row r="142" spans="1:25">
      <c r="A142" s="3" t="str">
        <f t="shared" si="22"/>
        <v/>
      </c>
      <c r="B142" s="3" t="str">
        <f t="shared" si="23"/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3" t="str">
        <f>IF(B142&lt;&gt;"Closed","",IF(K142&gt;=M142,"Target",IF(K142&lt;=N142,"Stop",IF(R142&gt;=Settings!$B$4,"Time","Manual"))))</f>
        <v/>
      </c>
      <c r="M142" s="3" t="str">
        <f>IF(F142="","",F142*(1+Settings!$B$2))</f>
        <v/>
      </c>
      <c r="N142" s="3" t="str">
        <f>IF(F142="","",F142*(1-Settings!$B$3))</f>
        <v/>
      </c>
      <c r="O142" s="3" t="str">
        <f>IF(E142="","",E142+Settings!$B$4)</f>
        <v/>
      </c>
      <c r="P142" s="3" t="str">
        <f t="shared" si="24"/>
        <v/>
      </c>
      <c r="Q142" s="3" t="str">
        <f t="shared" si="25"/>
        <v/>
      </c>
      <c r="R142" s="3" t="str">
        <f t="shared" ca="1" si="26"/>
        <v/>
      </c>
      <c r="S142" s="3" t="str">
        <f t="shared" ca="1" si="27"/>
        <v/>
      </c>
      <c r="T142" s="3" t="str">
        <f t="shared" si="28"/>
        <v/>
      </c>
      <c r="U142" s="3" t="str">
        <f t="shared" si="29"/>
        <v/>
      </c>
      <c r="V142" s="3" t="str">
        <f t="shared" si="30"/>
        <v/>
      </c>
      <c r="W142" s="3" t="str">
        <f t="shared" ca="1" si="31"/>
        <v/>
      </c>
      <c r="X142" s="3" t="str">
        <f t="shared" ca="1" si="32"/>
        <v/>
      </c>
      <c r="Y142" s="2"/>
    </row>
    <row r="143" spans="1:25">
      <c r="A143" s="3" t="str">
        <f t="shared" si="22"/>
        <v/>
      </c>
      <c r="B143" s="3" t="str">
        <f t="shared" si="23"/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3" t="str">
        <f>IF(B143&lt;&gt;"Closed","",IF(K143&gt;=M143,"Target",IF(K143&lt;=N143,"Stop",IF(R143&gt;=Settings!$B$4,"Time","Manual"))))</f>
        <v/>
      </c>
      <c r="M143" s="3" t="str">
        <f>IF(F143="","",F143*(1+Settings!$B$2))</f>
        <v/>
      </c>
      <c r="N143" s="3" t="str">
        <f>IF(F143="","",F143*(1-Settings!$B$3))</f>
        <v/>
      </c>
      <c r="O143" s="3" t="str">
        <f>IF(E143="","",E143+Settings!$B$4)</f>
        <v/>
      </c>
      <c r="P143" s="3" t="str">
        <f t="shared" si="24"/>
        <v/>
      </c>
      <c r="Q143" s="3" t="str">
        <f t="shared" si="25"/>
        <v/>
      </c>
      <c r="R143" s="3" t="str">
        <f t="shared" ca="1" si="26"/>
        <v/>
      </c>
      <c r="S143" s="3" t="str">
        <f t="shared" ca="1" si="27"/>
        <v/>
      </c>
      <c r="T143" s="3" t="str">
        <f t="shared" si="28"/>
        <v/>
      </c>
      <c r="U143" s="3" t="str">
        <f t="shared" si="29"/>
        <v/>
      </c>
      <c r="V143" s="3" t="str">
        <f t="shared" si="30"/>
        <v/>
      </c>
      <c r="W143" s="3" t="str">
        <f t="shared" ca="1" si="31"/>
        <v/>
      </c>
      <c r="X143" s="3" t="str">
        <f t="shared" ca="1" si="32"/>
        <v/>
      </c>
      <c r="Y143" s="2"/>
    </row>
    <row r="144" spans="1:25">
      <c r="A144" s="3" t="str">
        <f t="shared" si="22"/>
        <v/>
      </c>
      <c r="B144" s="3" t="str">
        <f t="shared" si="23"/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3" t="str">
        <f>IF(B144&lt;&gt;"Closed","",IF(K144&gt;=M144,"Target",IF(K144&lt;=N144,"Stop",IF(R144&gt;=Settings!$B$4,"Time","Manual"))))</f>
        <v/>
      </c>
      <c r="M144" s="3" t="str">
        <f>IF(F144="","",F144*(1+Settings!$B$2))</f>
        <v/>
      </c>
      <c r="N144" s="3" t="str">
        <f>IF(F144="","",F144*(1-Settings!$B$3))</f>
        <v/>
      </c>
      <c r="O144" s="3" t="str">
        <f>IF(E144="","",E144+Settings!$B$4)</f>
        <v/>
      </c>
      <c r="P144" s="3" t="str">
        <f t="shared" si="24"/>
        <v/>
      </c>
      <c r="Q144" s="3" t="str">
        <f t="shared" si="25"/>
        <v/>
      </c>
      <c r="R144" s="3" t="str">
        <f t="shared" ca="1" si="26"/>
        <v/>
      </c>
      <c r="S144" s="3" t="str">
        <f t="shared" ca="1" si="27"/>
        <v/>
      </c>
      <c r="T144" s="3" t="str">
        <f t="shared" si="28"/>
        <v/>
      </c>
      <c r="U144" s="3" t="str">
        <f t="shared" si="29"/>
        <v/>
      </c>
      <c r="V144" s="3" t="str">
        <f t="shared" si="30"/>
        <v/>
      </c>
      <c r="W144" s="3" t="str">
        <f t="shared" ca="1" si="31"/>
        <v/>
      </c>
      <c r="X144" s="3" t="str">
        <f t="shared" ca="1" si="32"/>
        <v/>
      </c>
      <c r="Y144" s="2"/>
    </row>
    <row r="145" spans="1:25">
      <c r="A145" s="3" t="str">
        <f t="shared" si="22"/>
        <v/>
      </c>
      <c r="B145" s="3" t="str">
        <f t="shared" si="23"/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3" t="str">
        <f>IF(B145&lt;&gt;"Closed","",IF(K145&gt;=M145,"Target",IF(K145&lt;=N145,"Stop",IF(R145&gt;=Settings!$B$4,"Time","Manual"))))</f>
        <v/>
      </c>
      <c r="M145" s="3" t="str">
        <f>IF(F145="","",F145*(1+Settings!$B$2))</f>
        <v/>
      </c>
      <c r="N145" s="3" t="str">
        <f>IF(F145="","",F145*(1-Settings!$B$3))</f>
        <v/>
      </c>
      <c r="O145" s="3" t="str">
        <f>IF(E145="","",E145+Settings!$B$4)</f>
        <v/>
      </c>
      <c r="P145" s="3" t="str">
        <f t="shared" si="24"/>
        <v/>
      </c>
      <c r="Q145" s="3" t="str">
        <f t="shared" si="25"/>
        <v/>
      </c>
      <c r="R145" s="3" t="str">
        <f t="shared" ca="1" si="26"/>
        <v/>
      </c>
      <c r="S145" s="3" t="str">
        <f t="shared" ca="1" si="27"/>
        <v/>
      </c>
      <c r="T145" s="3" t="str">
        <f t="shared" si="28"/>
        <v/>
      </c>
      <c r="U145" s="3" t="str">
        <f t="shared" si="29"/>
        <v/>
      </c>
      <c r="V145" s="3" t="str">
        <f t="shared" si="30"/>
        <v/>
      </c>
      <c r="W145" s="3" t="str">
        <f t="shared" ca="1" si="31"/>
        <v/>
      </c>
      <c r="X145" s="3" t="str">
        <f t="shared" ca="1" si="32"/>
        <v/>
      </c>
      <c r="Y145" s="2"/>
    </row>
    <row r="146" spans="1:25">
      <c r="A146" s="3" t="str">
        <f t="shared" si="22"/>
        <v/>
      </c>
      <c r="B146" s="3" t="str">
        <f t="shared" si="23"/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3" t="str">
        <f>IF(B146&lt;&gt;"Closed","",IF(K146&gt;=M146,"Target",IF(K146&lt;=N146,"Stop",IF(R146&gt;=Settings!$B$4,"Time","Manual"))))</f>
        <v/>
      </c>
      <c r="M146" s="3" t="str">
        <f>IF(F146="","",F146*(1+Settings!$B$2))</f>
        <v/>
      </c>
      <c r="N146" s="3" t="str">
        <f>IF(F146="","",F146*(1-Settings!$B$3))</f>
        <v/>
      </c>
      <c r="O146" s="3" t="str">
        <f>IF(E146="","",E146+Settings!$B$4)</f>
        <v/>
      </c>
      <c r="P146" s="3" t="str">
        <f t="shared" si="24"/>
        <v/>
      </c>
      <c r="Q146" s="3" t="str">
        <f t="shared" si="25"/>
        <v/>
      </c>
      <c r="R146" s="3" t="str">
        <f t="shared" ca="1" si="26"/>
        <v/>
      </c>
      <c r="S146" s="3" t="str">
        <f t="shared" ca="1" si="27"/>
        <v/>
      </c>
      <c r="T146" s="3" t="str">
        <f t="shared" si="28"/>
        <v/>
      </c>
      <c r="U146" s="3" t="str">
        <f t="shared" si="29"/>
        <v/>
      </c>
      <c r="V146" s="3" t="str">
        <f t="shared" si="30"/>
        <v/>
      </c>
      <c r="W146" s="3" t="str">
        <f t="shared" ca="1" si="31"/>
        <v/>
      </c>
      <c r="X146" s="3" t="str">
        <f t="shared" ca="1" si="32"/>
        <v/>
      </c>
      <c r="Y146" s="2"/>
    </row>
    <row r="147" spans="1:25">
      <c r="A147" s="3" t="str">
        <f t="shared" si="22"/>
        <v/>
      </c>
      <c r="B147" s="3" t="str">
        <f t="shared" si="23"/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3" t="str">
        <f>IF(B147&lt;&gt;"Closed","",IF(K147&gt;=M147,"Target",IF(K147&lt;=N147,"Stop",IF(R147&gt;=Settings!$B$4,"Time","Manual"))))</f>
        <v/>
      </c>
      <c r="M147" s="3" t="str">
        <f>IF(F147="","",F147*(1+Settings!$B$2))</f>
        <v/>
      </c>
      <c r="N147" s="3" t="str">
        <f>IF(F147="","",F147*(1-Settings!$B$3))</f>
        <v/>
      </c>
      <c r="O147" s="3" t="str">
        <f>IF(E147="","",E147+Settings!$B$4)</f>
        <v/>
      </c>
      <c r="P147" s="3" t="str">
        <f t="shared" si="24"/>
        <v/>
      </c>
      <c r="Q147" s="3" t="str">
        <f t="shared" si="25"/>
        <v/>
      </c>
      <c r="R147" s="3" t="str">
        <f t="shared" ca="1" si="26"/>
        <v/>
      </c>
      <c r="S147" s="3" t="str">
        <f t="shared" ca="1" si="27"/>
        <v/>
      </c>
      <c r="T147" s="3" t="str">
        <f t="shared" si="28"/>
        <v/>
      </c>
      <c r="U147" s="3" t="str">
        <f t="shared" si="29"/>
        <v/>
      </c>
      <c r="V147" s="3" t="str">
        <f t="shared" si="30"/>
        <v/>
      </c>
      <c r="W147" s="3" t="str">
        <f t="shared" ca="1" si="31"/>
        <v/>
      </c>
      <c r="X147" s="3" t="str">
        <f t="shared" ca="1" si="32"/>
        <v/>
      </c>
      <c r="Y147" s="2"/>
    </row>
    <row r="148" spans="1:25">
      <c r="A148" s="3" t="str">
        <f t="shared" si="22"/>
        <v/>
      </c>
      <c r="B148" s="3" t="str">
        <f t="shared" si="23"/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3" t="str">
        <f>IF(B148&lt;&gt;"Closed","",IF(K148&gt;=M148,"Target",IF(K148&lt;=N148,"Stop",IF(R148&gt;=Settings!$B$4,"Time","Manual"))))</f>
        <v/>
      </c>
      <c r="M148" s="3" t="str">
        <f>IF(F148="","",F148*(1+Settings!$B$2))</f>
        <v/>
      </c>
      <c r="N148" s="3" t="str">
        <f>IF(F148="","",F148*(1-Settings!$B$3))</f>
        <v/>
      </c>
      <c r="O148" s="3" t="str">
        <f>IF(E148="","",E148+Settings!$B$4)</f>
        <v/>
      </c>
      <c r="P148" s="3" t="str">
        <f t="shared" si="24"/>
        <v/>
      </c>
      <c r="Q148" s="3" t="str">
        <f t="shared" si="25"/>
        <v/>
      </c>
      <c r="R148" s="3" t="str">
        <f t="shared" ca="1" si="26"/>
        <v/>
      </c>
      <c r="S148" s="3" t="str">
        <f t="shared" ca="1" si="27"/>
        <v/>
      </c>
      <c r="T148" s="3" t="str">
        <f t="shared" si="28"/>
        <v/>
      </c>
      <c r="U148" s="3" t="str">
        <f t="shared" si="29"/>
        <v/>
      </c>
      <c r="V148" s="3" t="str">
        <f t="shared" si="30"/>
        <v/>
      </c>
      <c r="W148" s="3" t="str">
        <f t="shared" ca="1" si="31"/>
        <v/>
      </c>
      <c r="X148" s="3" t="str">
        <f t="shared" ca="1" si="32"/>
        <v/>
      </c>
      <c r="Y148" s="2"/>
    </row>
    <row r="149" spans="1:25">
      <c r="A149" s="3" t="str">
        <f t="shared" si="22"/>
        <v/>
      </c>
      <c r="B149" s="3" t="str">
        <f t="shared" si="23"/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3" t="str">
        <f>IF(B149&lt;&gt;"Closed","",IF(K149&gt;=M149,"Target",IF(K149&lt;=N149,"Stop",IF(R149&gt;=Settings!$B$4,"Time","Manual"))))</f>
        <v/>
      </c>
      <c r="M149" s="3" t="str">
        <f>IF(F149="","",F149*(1+Settings!$B$2))</f>
        <v/>
      </c>
      <c r="N149" s="3" t="str">
        <f>IF(F149="","",F149*(1-Settings!$B$3))</f>
        <v/>
      </c>
      <c r="O149" s="3" t="str">
        <f>IF(E149="","",E149+Settings!$B$4)</f>
        <v/>
      </c>
      <c r="P149" s="3" t="str">
        <f t="shared" si="24"/>
        <v/>
      </c>
      <c r="Q149" s="3" t="str">
        <f t="shared" si="25"/>
        <v/>
      </c>
      <c r="R149" s="3" t="str">
        <f t="shared" ca="1" si="26"/>
        <v/>
      </c>
      <c r="S149" s="3" t="str">
        <f t="shared" ca="1" si="27"/>
        <v/>
      </c>
      <c r="T149" s="3" t="str">
        <f t="shared" si="28"/>
        <v/>
      </c>
      <c r="U149" s="3" t="str">
        <f t="shared" si="29"/>
        <v/>
      </c>
      <c r="V149" s="3" t="str">
        <f t="shared" si="30"/>
        <v/>
      </c>
      <c r="W149" s="3" t="str">
        <f t="shared" ca="1" si="31"/>
        <v/>
      </c>
      <c r="X149" s="3" t="str">
        <f t="shared" ca="1" si="32"/>
        <v/>
      </c>
      <c r="Y149" s="2"/>
    </row>
    <row r="150" spans="1:25">
      <c r="A150" s="3" t="str">
        <f t="shared" si="22"/>
        <v/>
      </c>
      <c r="B150" s="3" t="str">
        <f t="shared" si="23"/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3" t="str">
        <f>IF(B150&lt;&gt;"Closed","",IF(K150&gt;=M150,"Target",IF(K150&lt;=N150,"Stop",IF(R150&gt;=Settings!$B$4,"Time","Manual"))))</f>
        <v/>
      </c>
      <c r="M150" s="3" t="str">
        <f>IF(F150="","",F150*(1+Settings!$B$2))</f>
        <v/>
      </c>
      <c r="N150" s="3" t="str">
        <f>IF(F150="","",F150*(1-Settings!$B$3))</f>
        <v/>
      </c>
      <c r="O150" s="3" t="str">
        <f>IF(E150="","",E150+Settings!$B$4)</f>
        <v/>
      </c>
      <c r="P150" s="3" t="str">
        <f t="shared" si="24"/>
        <v/>
      </c>
      <c r="Q150" s="3" t="str">
        <f t="shared" si="25"/>
        <v/>
      </c>
      <c r="R150" s="3" t="str">
        <f t="shared" ca="1" si="26"/>
        <v/>
      </c>
      <c r="S150" s="3" t="str">
        <f t="shared" ca="1" si="27"/>
        <v/>
      </c>
      <c r="T150" s="3" t="str">
        <f t="shared" si="28"/>
        <v/>
      </c>
      <c r="U150" s="3" t="str">
        <f t="shared" si="29"/>
        <v/>
      </c>
      <c r="V150" s="3" t="str">
        <f t="shared" si="30"/>
        <v/>
      </c>
      <c r="W150" s="3" t="str">
        <f t="shared" ca="1" si="31"/>
        <v/>
      </c>
      <c r="X150" s="3" t="str">
        <f t="shared" ca="1" si="32"/>
        <v/>
      </c>
      <c r="Y150" s="2"/>
    </row>
    <row r="151" spans="1:25">
      <c r="A151" s="3" t="str">
        <f t="shared" si="22"/>
        <v/>
      </c>
      <c r="B151" s="3" t="str">
        <f t="shared" si="23"/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3" t="str">
        <f>IF(B151&lt;&gt;"Closed","",IF(K151&gt;=M151,"Target",IF(K151&lt;=N151,"Stop",IF(R151&gt;=Settings!$B$4,"Time","Manual"))))</f>
        <v/>
      </c>
      <c r="M151" s="3" t="str">
        <f>IF(F151="","",F151*(1+Settings!$B$2))</f>
        <v/>
      </c>
      <c r="N151" s="3" t="str">
        <f>IF(F151="","",F151*(1-Settings!$B$3))</f>
        <v/>
      </c>
      <c r="O151" s="3" t="str">
        <f>IF(E151="","",E151+Settings!$B$4)</f>
        <v/>
      </c>
      <c r="P151" s="3" t="str">
        <f t="shared" si="24"/>
        <v/>
      </c>
      <c r="Q151" s="3" t="str">
        <f t="shared" si="25"/>
        <v/>
      </c>
      <c r="R151" s="3" t="str">
        <f t="shared" ca="1" si="26"/>
        <v/>
      </c>
      <c r="S151" s="3" t="str">
        <f t="shared" ca="1" si="27"/>
        <v/>
      </c>
      <c r="T151" s="3" t="str">
        <f t="shared" si="28"/>
        <v/>
      </c>
      <c r="U151" s="3" t="str">
        <f t="shared" si="29"/>
        <v/>
      </c>
      <c r="V151" s="3" t="str">
        <f t="shared" si="30"/>
        <v/>
      </c>
      <c r="W151" s="3" t="str">
        <f t="shared" ca="1" si="31"/>
        <v/>
      </c>
      <c r="X151" s="3" t="str">
        <f t="shared" ca="1" si="32"/>
        <v/>
      </c>
      <c r="Y151" s="2"/>
    </row>
    <row r="152" spans="1:25">
      <c r="A152" s="3" t="str">
        <f t="shared" si="22"/>
        <v/>
      </c>
      <c r="B152" s="3" t="str">
        <f t="shared" si="23"/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3" t="str">
        <f>IF(B152&lt;&gt;"Closed","",IF(K152&gt;=M152,"Target",IF(K152&lt;=N152,"Stop",IF(R152&gt;=Settings!$B$4,"Time","Manual"))))</f>
        <v/>
      </c>
      <c r="M152" s="3" t="str">
        <f>IF(F152="","",F152*(1+Settings!$B$2))</f>
        <v/>
      </c>
      <c r="N152" s="3" t="str">
        <f>IF(F152="","",F152*(1-Settings!$B$3))</f>
        <v/>
      </c>
      <c r="O152" s="3" t="str">
        <f>IF(E152="","",E152+Settings!$B$4)</f>
        <v/>
      </c>
      <c r="P152" s="3" t="str">
        <f t="shared" si="24"/>
        <v/>
      </c>
      <c r="Q152" s="3" t="str">
        <f t="shared" si="25"/>
        <v/>
      </c>
      <c r="R152" s="3" t="str">
        <f t="shared" ca="1" si="26"/>
        <v/>
      </c>
      <c r="S152" s="3" t="str">
        <f t="shared" ca="1" si="27"/>
        <v/>
      </c>
      <c r="T152" s="3" t="str">
        <f t="shared" si="28"/>
        <v/>
      </c>
      <c r="U152" s="3" t="str">
        <f t="shared" si="29"/>
        <v/>
      </c>
      <c r="V152" s="3" t="str">
        <f t="shared" si="30"/>
        <v/>
      </c>
      <c r="W152" s="3" t="str">
        <f t="shared" ca="1" si="31"/>
        <v/>
      </c>
      <c r="X152" s="3" t="str">
        <f t="shared" ca="1" si="32"/>
        <v/>
      </c>
      <c r="Y152" s="2"/>
    </row>
    <row r="153" spans="1:25">
      <c r="A153" s="3" t="str">
        <f t="shared" si="22"/>
        <v/>
      </c>
      <c r="B153" s="3" t="str">
        <f t="shared" si="23"/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3" t="str">
        <f>IF(B153&lt;&gt;"Closed","",IF(K153&gt;=M153,"Target",IF(K153&lt;=N153,"Stop",IF(R153&gt;=Settings!$B$4,"Time","Manual"))))</f>
        <v/>
      </c>
      <c r="M153" s="3" t="str">
        <f>IF(F153="","",F153*(1+Settings!$B$2))</f>
        <v/>
      </c>
      <c r="N153" s="3" t="str">
        <f>IF(F153="","",F153*(1-Settings!$B$3))</f>
        <v/>
      </c>
      <c r="O153" s="3" t="str">
        <f>IF(E153="","",E153+Settings!$B$4)</f>
        <v/>
      </c>
      <c r="P153" s="3" t="str">
        <f t="shared" si="24"/>
        <v/>
      </c>
      <c r="Q153" s="3" t="str">
        <f t="shared" si="25"/>
        <v/>
      </c>
      <c r="R153" s="3" t="str">
        <f t="shared" ca="1" si="26"/>
        <v/>
      </c>
      <c r="S153" s="3" t="str">
        <f t="shared" ca="1" si="27"/>
        <v/>
      </c>
      <c r="T153" s="3" t="str">
        <f t="shared" si="28"/>
        <v/>
      </c>
      <c r="U153" s="3" t="str">
        <f t="shared" si="29"/>
        <v/>
      </c>
      <c r="V153" s="3" t="str">
        <f t="shared" si="30"/>
        <v/>
      </c>
      <c r="W153" s="3" t="str">
        <f t="shared" ca="1" si="31"/>
        <v/>
      </c>
      <c r="X153" s="3" t="str">
        <f t="shared" ca="1" si="32"/>
        <v/>
      </c>
      <c r="Y153" s="2"/>
    </row>
    <row r="154" spans="1:25">
      <c r="A154" s="3" t="str">
        <f t="shared" si="22"/>
        <v/>
      </c>
      <c r="B154" s="3" t="str">
        <f t="shared" si="23"/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3" t="str">
        <f>IF(B154&lt;&gt;"Closed","",IF(K154&gt;=M154,"Target",IF(K154&lt;=N154,"Stop",IF(R154&gt;=Settings!$B$4,"Time","Manual"))))</f>
        <v/>
      </c>
      <c r="M154" s="3" t="str">
        <f>IF(F154="","",F154*(1+Settings!$B$2))</f>
        <v/>
      </c>
      <c r="N154" s="3" t="str">
        <f>IF(F154="","",F154*(1-Settings!$B$3))</f>
        <v/>
      </c>
      <c r="O154" s="3" t="str">
        <f>IF(E154="","",E154+Settings!$B$4)</f>
        <v/>
      </c>
      <c r="P154" s="3" t="str">
        <f t="shared" si="24"/>
        <v/>
      </c>
      <c r="Q154" s="3" t="str">
        <f t="shared" si="25"/>
        <v/>
      </c>
      <c r="R154" s="3" t="str">
        <f t="shared" ca="1" si="26"/>
        <v/>
      </c>
      <c r="S154" s="3" t="str">
        <f t="shared" ca="1" si="27"/>
        <v/>
      </c>
      <c r="T154" s="3" t="str">
        <f t="shared" si="28"/>
        <v/>
      </c>
      <c r="U154" s="3" t="str">
        <f t="shared" si="29"/>
        <v/>
      </c>
      <c r="V154" s="3" t="str">
        <f t="shared" si="30"/>
        <v/>
      </c>
      <c r="W154" s="3" t="str">
        <f t="shared" ca="1" si="31"/>
        <v/>
      </c>
      <c r="X154" s="3" t="str">
        <f t="shared" ca="1" si="32"/>
        <v/>
      </c>
      <c r="Y154" s="2"/>
    </row>
    <row r="155" spans="1:25">
      <c r="A155" s="3" t="str">
        <f t="shared" si="22"/>
        <v/>
      </c>
      <c r="B155" s="3" t="str">
        <f t="shared" si="23"/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3" t="str">
        <f>IF(B155&lt;&gt;"Closed","",IF(K155&gt;=M155,"Target",IF(K155&lt;=N155,"Stop",IF(R155&gt;=Settings!$B$4,"Time","Manual"))))</f>
        <v/>
      </c>
      <c r="M155" s="3" t="str">
        <f>IF(F155="","",F155*(1+Settings!$B$2))</f>
        <v/>
      </c>
      <c r="N155" s="3" t="str">
        <f>IF(F155="","",F155*(1-Settings!$B$3))</f>
        <v/>
      </c>
      <c r="O155" s="3" t="str">
        <f>IF(E155="","",E155+Settings!$B$4)</f>
        <v/>
      </c>
      <c r="P155" s="3" t="str">
        <f t="shared" si="24"/>
        <v/>
      </c>
      <c r="Q155" s="3" t="str">
        <f t="shared" si="25"/>
        <v/>
      </c>
      <c r="R155" s="3" t="str">
        <f t="shared" ca="1" si="26"/>
        <v/>
      </c>
      <c r="S155" s="3" t="str">
        <f t="shared" ca="1" si="27"/>
        <v/>
      </c>
      <c r="T155" s="3" t="str">
        <f t="shared" si="28"/>
        <v/>
      </c>
      <c r="U155" s="3" t="str">
        <f t="shared" si="29"/>
        <v/>
      </c>
      <c r="V155" s="3" t="str">
        <f t="shared" si="30"/>
        <v/>
      </c>
      <c r="W155" s="3" t="str">
        <f t="shared" ca="1" si="31"/>
        <v/>
      </c>
      <c r="X155" s="3" t="str">
        <f t="shared" ca="1" si="32"/>
        <v/>
      </c>
      <c r="Y155" s="2"/>
    </row>
    <row r="156" spans="1:25">
      <c r="A156" s="3" t="str">
        <f t="shared" si="22"/>
        <v/>
      </c>
      <c r="B156" s="3" t="str">
        <f t="shared" si="23"/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3" t="str">
        <f>IF(B156&lt;&gt;"Closed","",IF(K156&gt;=M156,"Target",IF(K156&lt;=N156,"Stop",IF(R156&gt;=Settings!$B$4,"Time","Manual"))))</f>
        <v/>
      </c>
      <c r="M156" s="3" t="str">
        <f>IF(F156="","",F156*(1+Settings!$B$2))</f>
        <v/>
      </c>
      <c r="N156" s="3" t="str">
        <f>IF(F156="","",F156*(1-Settings!$B$3))</f>
        <v/>
      </c>
      <c r="O156" s="3" t="str">
        <f>IF(E156="","",E156+Settings!$B$4)</f>
        <v/>
      </c>
      <c r="P156" s="3" t="str">
        <f t="shared" si="24"/>
        <v/>
      </c>
      <c r="Q156" s="3" t="str">
        <f t="shared" si="25"/>
        <v/>
      </c>
      <c r="R156" s="3" t="str">
        <f t="shared" ca="1" si="26"/>
        <v/>
      </c>
      <c r="S156" s="3" t="str">
        <f t="shared" ca="1" si="27"/>
        <v/>
      </c>
      <c r="T156" s="3" t="str">
        <f t="shared" si="28"/>
        <v/>
      </c>
      <c r="U156" s="3" t="str">
        <f t="shared" si="29"/>
        <v/>
      </c>
      <c r="V156" s="3" t="str">
        <f t="shared" si="30"/>
        <v/>
      </c>
      <c r="W156" s="3" t="str">
        <f t="shared" ca="1" si="31"/>
        <v/>
      </c>
      <c r="X156" s="3" t="str">
        <f t="shared" ca="1" si="32"/>
        <v/>
      </c>
      <c r="Y156" s="2"/>
    </row>
    <row r="157" spans="1:25">
      <c r="A157" s="3" t="str">
        <f t="shared" si="22"/>
        <v/>
      </c>
      <c r="B157" s="3" t="str">
        <f t="shared" si="23"/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3" t="str">
        <f>IF(B157&lt;&gt;"Closed","",IF(K157&gt;=M157,"Target",IF(K157&lt;=N157,"Stop",IF(R157&gt;=Settings!$B$4,"Time","Manual"))))</f>
        <v/>
      </c>
      <c r="M157" s="3" t="str">
        <f>IF(F157="","",F157*(1+Settings!$B$2))</f>
        <v/>
      </c>
      <c r="N157" s="3" t="str">
        <f>IF(F157="","",F157*(1-Settings!$B$3))</f>
        <v/>
      </c>
      <c r="O157" s="3" t="str">
        <f>IF(E157="","",E157+Settings!$B$4)</f>
        <v/>
      </c>
      <c r="P157" s="3" t="str">
        <f t="shared" si="24"/>
        <v/>
      </c>
      <c r="Q157" s="3" t="str">
        <f t="shared" si="25"/>
        <v/>
      </c>
      <c r="R157" s="3" t="str">
        <f t="shared" ca="1" si="26"/>
        <v/>
      </c>
      <c r="S157" s="3" t="str">
        <f t="shared" ca="1" si="27"/>
        <v/>
      </c>
      <c r="T157" s="3" t="str">
        <f t="shared" si="28"/>
        <v/>
      </c>
      <c r="U157" s="3" t="str">
        <f t="shared" si="29"/>
        <v/>
      </c>
      <c r="V157" s="3" t="str">
        <f t="shared" si="30"/>
        <v/>
      </c>
      <c r="W157" s="3" t="str">
        <f t="shared" ca="1" si="31"/>
        <v/>
      </c>
      <c r="X157" s="3" t="str">
        <f t="shared" ca="1" si="32"/>
        <v/>
      </c>
      <c r="Y157" s="2"/>
    </row>
    <row r="158" spans="1:25">
      <c r="A158" s="3" t="str">
        <f t="shared" si="22"/>
        <v/>
      </c>
      <c r="B158" s="3" t="str">
        <f t="shared" si="23"/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3" t="str">
        <f>IF(B158&lt;&gt;"Closed","",IF(K158&gt;=M158,"Target",IF(K158&lt;=N158,"Stop",IF(R158&gt;=Settings!$B$4,"Time","Manual"))))</f>
        <v/>
      </c>
      <c r="M158" s="3" t="str">
        <f>IF(F158="","",F158*(1+Settings!$B$2))</f>
        <v/>
      </c>
      <c r="N158" s="3" t="str">
        <f>IF(F158="","",F158*(1-Settings!$B$3))</f>
        <v/>
      </c>
      <c r="O158" s="3" t="str">
        <f>IF(E158="","",E158+Settings!$B$4)</f>
        <v/>
      </c>
      <c r="P158" s="3" t="str">
        <f t="shared" si="24"/>
        <v/>
      </c>
      <c r="Q158" s="3" t="str">
        <f t="shared" si="25"/>
        <v/>
      </c>
      <c r="R158" s="3" t="str">
        <f t="shared" ca="1" si="26"/>
        <v/>
      </c>
      <c r="S158" s="3" t="str">
        <f t="shared" ca="1" si="27"/>
        <v/>
      </c>
      <c r="T158" s="3" t="str">
        <f t="shared" si="28"/>
        <v/>
      </c>
      <c r="U158" s="3" t="str">
        <f t="shared" si="29"/>
        <v/>
      </c>
      <c r="V158" s="3" t="str">
        <f t="shared" si="30"/>
        <v/>
      </c>
      <c r="W158" s="3" t="str">
        <f t="shared" ca="1" si="31"/>
        <v/>
      </c>
      <c r="X158" s="3" t="str">
        <f t="shared" ca="1" si="32"/>
        <v/>
      </c>
      <c r="Y158" s="2"/>
    </row>
    <row r="159" spans="1:25">
      <c r="A159" s="3" t="str">
        <f t="shared" si="22"/>
        <v/>
      </c>
      <c r="B159" s="3" t="str">
        <f t="shared" si="23"/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3" t="str">
        <f>IF(B159&lt;&gt;"Closed","",IF(K159&gt;=M159,"Target",IF(K159&lt;=N159,"Stop",IF(R159&gt;=Settings!$B$4,"Time","Manual"))))</f>
        <v/>
      </c>
      <c r="M159" s="3" t="str">
        <f>IF(F159="","",F159*(1+Settings!$B$2))</f>
        <v/>
      </c>
      <c r="N159" s="3" t="str">
        <f>IF(F159="","",F159*(1-Settings!$B$3))</f>
        <v/>
      </c>
      <c r="O159" s="3" t="str">
        <f>IF(E159="","",E159+Settings!$B$4)</f>
        <v/>
      </c>
      <c r="P159" s="3" t="str">
        <f t="shared" si="24"/>
        <v/>
      </c>
      <c r="Q159" s="3" t="str">
        <f t="shared" si="25"/>
        <v/>
      </c>
      <c r="R159" s="3" t="str">
        <f t="shared" ca="1" si="26"/>
        <v/>
      </c>
      <c r="S159" s="3" t="str">
        <f t="shared" ca="1" si="27"/>
        <v/>
      </c>
      <c r="T159" s="3" t="str">
        <f t="shared" si="28"/>
        <v/>
      </c>
      <c r="U159" s="3" t="str">
        <f t="shared" si="29"/>
        <v/>
      </c>
      <c r="V159" s="3" t="str">
        <f t="shared" si="30"/>
        <v/>
      </c>
      <c r="W159" s="3" t="str">
        <f t="shared" ca="1" si="31"/>
        <v/>
      </c>
      <c r="X159" s="3" t="str">
        <f t="shared" ca="1" si="32"/>
        <v/>
      </c>
      <c r="Y159" s="2"/>
    </row>
    <row r="160" spans="1:25">
      <c r="A160" s="3" t="str">
        <f t="shared" si="22"/>
        <v/>
      </c>
      <c r="B160" s="3" t="str">
        <f t="shared" si="23"/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3" t="str">
        <f>IF(B160&lt;&gt;"Closed","",IF(K160&gt;=M160,"Target",IF(K160&lt;=N160,"Stop",IF(R160&gt;=Settings!$B$4,"Time","Manual"))))</f>
        <v/>
      </c>
      <c r="M160" s="3" t="str">
        <f>IF(F160="","",F160*(1+Settings!$B$2))</f>
        <v/>
      </c>
      <c r="N160" s="3" t="str">
        <f>IF(F160="","",F160*(1-Settings!$B$3))</f>
        <v/>
      </c>
      <c r="O160" s="3" t="str">
        <f>IF(E160="","",E160+Settings!$B$4)</f>
        <v/>
      </c>
      <c r="P160" s="3" t="str">
        <f t="shared" si="24"/>
        <v/>
      </c>
      <c r="Q160" s="3" t="str">
        <f t="shared" si="25"/>
        <v/>
      </c>
      <c r="R160" s="3" t="str">
        <f t="shared" ca="1" si="26"/>
        <v/>
      </c>
      <c r="S160" s="3" t="str">
        <f t="shared" ca="1" si="27"/>
        <v/>
      </c>
      <c r="T160" s="3" t="str">
        <f t="shared" si="28"/>
        <v/>
      </c>
      <c r="U160" s="3" t="str">
        <f t="shared" si="29"/>
        <v/>
      </c>
      <c r="V160" s="3" t="str">
        <f t="shared" si="30"/>
        <v/>
      </c>
      <c r="W160" s="3" t="str">
        <f t="shared" ca="1" si="31"/>
        <v/>
      </c>
      <c r="X160" s="3" t="str">
        <f t="shared" ca="1" si="32"/>
        <v/>
      </c>
      <c r="Y160" s="2"/>
    </row>
    <row r="161" spans="1:25">
      <c r="A161" s="3" t="str">
        <f t="shared" si="22"/>
        <v/>
      </c>
      <c r="B161" s="3" t="str">
        <f t="shared" si="23"/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3" t="str">
        <f>IF(B161&lt;&gt;"Closed","",IF(K161&gt;=M161,"Target",IF(K161&lt;=N161,"Stop",IF(R161&gt;=Settings!$B$4,"Time","Manual"))))</f>
        <v/>
      </c>
      <c r="M161" s="3" t="str">
        <f>IF(F161="","",F161*(1+Settings!$B$2))</f>
        <v/>
      </c>
      <c r="N161" s="3" t="str">
        <f>IF(F161="","",F161*(1-Settings!$B$3))</f>
        <v/>
      </c>
      <c r="O161" s="3" t="str">
        <f>IF(E161="","",E161+Settings!$B$4)</f>
        <v/>
      </c>
      <c r="P161" s="3" t="str">
        <f t="shared" si="24"/>
        <v/>
      </c>
      <c r="Q161" s="3" t="str">
        <f t="shared" si="25"/>
        <v/>
      </c>
      <c r="R161" s="3" t="str">
        <f t="shared" ca="1" si="26"/>
        <v/>
      </c>
      <c r="S161" s="3" t="str">
        <f t="shared" ca="1" si="27"/>
        <v/>
      </c>
      <c r="T161" s="3" t="str">
        <f t="shared" si="28"/>
        <v/>
      </c>
      <c r="U161" s="3" t="str">
        <f t="shared" si="29"/>
        <v/>
      </c>
      <c r="V161" s="3" t="str">
        <f t="shared" si="30"/>
        <v/>
      </c>
      <c r="W161" s="3" t="str">
        <f t="shared" ca="1" si="31"/>
        <v/>
      </c>
      <c r="X161" s="3" t="str">
        <f t="shared" ca="1" si="32"/>
        <v/>
      </c>
      <c r="Y161" s="2"/>
    </row>
    <row r="162" spans="1:25">
      <c r="A162" s="3" t="str">
        <f t="shared" si="22"/>
        <v/>
      </c>
      <c r="B162" s="3" t="str">
        <f t="shared" si="23"/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3" t="str">
        <f>IF(B162&lt;&gt;"Closed","",IF(K162&gt;=M162,"Target",IF(K162&lt;=N162,"Stop",IF(R162&gt;=Settings!$B$4,"Time","Manual"))))</f>
        <v/>
      </c>
      <c r="M162" s="3" t="str">
        <f>IF(F162="","",F162*(1+Settings!$B$2))</f>
        <v/>
      </c>
      <c r="N162" s="3" t="str">
        <f>IF(F162="","",F162*(1-Settings!$B$3))</f>
        <v/>
      </c>
      <c r="O162" s="3" t="str">
        <f>IF(E162="","",E162+Settings!$B$4)</f>
        <v/>
      </c>
      <c r="P162" s="3" t="str">
        <f t="shared" si="24"/>
        <v/>
      </c>
      <c r="Q162" s="3" t="str">
        <f t="shared" si="25"/>
        <v/>
      </c>
      <c r="R162" s="3" t="str">
        <f t="shared" ca="1" si="26"/>
        <v/>
      </c>
      <c r="S162" s="3" t="str">
        <f t="shared" ca="1" si="27"/>
        <v/>
      </c>
      <c r="T162" s="3" t="str">
        <f t="shared" si="28"/>
        <v/>
      </c>
      <c r="U162" s="3" t="str">
        <f t="shared" si="29"/>
        <v/>
      </c>
      <c r="V162" s="3" t="str">
        <f t="shared" si="30"/>
        <v/>
      </c>
      <c r="W162" s="3" t="str">
        <f t="shared" ca="1" si="31"/>
        <v/>
      </c>
      <c r="X162" s="3" t="str">
        <f t="shared" ca="1" si="32"/>
        <v/>
      </c>
      <c r="Y162" s="2"/>
    </row>
    <row r="163" spans="1:25">
      <c r="A163" s="3" t="str">
        <f t="shared" si="22"/>
        <v/>
      </c>
      <c r="B163" s="3" t="str">
        <f t="shared" si="23"/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3" t="str">
        <f>IF(B163&lt;&gt;"Closed","",IF(K163&gt;=M163,"Target",IF(K163&lt;=N163,"Stop",IF(R163&gt;=Settings!$B$4,"Time","Manual"))))</f>
        <v/>
      </c>
      <c r="M163" s="3" t="str">
        <f>IF(F163="","",F163*(1+Settings!$B$2))</f>
        <v/>
      </c>
      <c r="N163" s="3" t="str">
        <f>IF(F163="","",F163*(1-Settings!$B$3))</f>
        <v/>
      </c>
      <c r="O163" s="3" t="str">
        <f>IF(E163="","",E163+Settings!$B$4)</f>
        <v/>
      </c>
      <c r="P163" s="3" t="str">
        <f t="shared" si="24"/>
        <v/>
      </c>
      <c r="Q163" s="3" t="str">
        <f t="shared" si="25"/>
        <v/>
      </c>
      <c r="R163" s="3" t="str">
        <f t="shared" ca="1" si="26"/>
        <v/>
      </c>
      <c r="S163" s="3" t="str">
        <f t="shared" ca="1" si="27"/>
        <v/>
      </c>
      <c r="T163" s="3" t="str">
        <f t="shared" si="28"/>
        <v/>
      </c>
      <c r="U163" s="3" t="str">
        <f t="shared" si="29"/>
        <v/>
      </c>
      <c r="V163" s="3" t="str">
        <f t="shared" si="30"/>
        <v/>
      </c>
      <c r="W163" s="3" t="str">
        <f t="shared" ca="1" si="31"/>
        <v/>
      </c>
      <c r="X163" s="3" t="str">
        <f t="shared" ca="1" si="32"/>
        <v/>
      </c>
      <c r="Y163" s="2"/>
    </row>
    <row r="164" spans="1:25">
      <c r="A164" s="3" t="str">
        <f t="shared" si="22"/>
        <v/>
      </c>
      <c r="B164" s="3" t="str">
        <f t="shared" si="23"/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3" t="str">
        <f>IF(B164&lt;&gt;"Closed","",IF(K164&gt;=M164,"Target",IF(K164&lt;=N164,"Stop",IF(R164&gt;=Settings!$B$4,"Time","Manual"))))</f>
        <v/>
      </c>
      <c r="M164" s="3" t="str">
        <f>IF(F164="","",F164*(1+Settings!$B$2))</f>
        <v/>
      </c>
      <c r="N164" s="3" t="str">
        <f>IF(F164="","",F164*(1-Settings!$B$3))</f>
        <v/>
      </c>
      <c r="O164" s="3" t="str">
        <f>IF(E164="","",E164+Settings!$B$4)</f>
        <v/>
      </c>
      <c r="P164" s="3" t="str">
        <f t="shared" si="24"/>
        <v/>
      </c>
      <c r="Q164" s="3" t="str">
        <f t="shared" si="25"/>
        <v/>
      </c>
      <c r="R164" s="3" t="str">
        <f t="shared" ca="1" si="26"/>
        <v/>
      </c>
      <c r="S164" s="3" t="str">
        <f t="shared" ca="1" si="27"/>
        <v/>
      </c>
      <c r="T164" s="3" t="str">
        <f t="shared" si="28"/>
        <v/>
      </c>
      <c r="U164" s="3" t="str">
        <f t="shared" si="29"/>
        <v/>
      </c>
      <c r="V164" s="3" t="str">
        <f t="shared" si="30"/>
        <v/>
      </c>
      <c r="W164" s="3" t="str">
        <f t="shared" ca="1" si="31"/>
        <v/>
      </c>
      <c r="X164" s="3" t="str">
        <f t="shared" ca="1" si="32"/>
        <v/>
      </c>
      <c r="Y164" s="2"/>
    </row>
    <row r="165" spans="1:25">
      <c r="A165" s="3" t="str">
        <f t="shared" si="22"/>
        <v/>
      </c>
      <c r="B165" s="3" t="str">
        <f t="shared" si="23"/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3" t="str">
        <f>IF(B165&lt;&gt;"Closed","",IF(K165&gt;=M165,"Target",IF(K165&lt;=N165,"Stop",IF(R165&gt;=Settings!$B$4,"Time","Manual"))))</f>
        <v/>
      </c>
      <c r="M165" s="3" t="str">
        <f>IF(F165="","",F165*(1+Settings!$B$2))</f>
        <v/>
      </c>
      <c r="N165" s="3" t="str">
        <f>IF(F165="","",F165*(1-Settings!$B$3))</f>
        <v/>
      </c>
      <c r="O165" s="3" t="str">
        <f>IF(E165="","",E165+Settings!$B$4)</f>
        <v/>
      </c>
      <c r="P165" s="3" t="str">
        <f t="shared" si="24"/>
        <v/>
      </c>
      <c r="Q165" s="3" t="str">
        <f t="shared" si="25"/>
        <v/>
      </c>
      <c r="R165" s="3" t="str">
        <f t="shared" ca="1" si="26"/>
        <v/>
      </c>
      <c r="S165" s="3" t="str">
        <f t="shared" ca="1" si="27"/>
        <v/>
      </c>
      <c r="T165" s="3" t="str">
        <f t="shared" si="28"/>
        <v/>
      </c>
      <c r="U165" s="3" t="str">
        <f t="shared" si="29"/>
        <v/>
      </c>
      <c r="V165" s="3" t="str">
        <f t="shared" si="30"/>
        <v/>
      </c>
      <c r="W165" s="3" t="str">
        <f t="shared" ca="1" si="31"/>
        <v/>
      </c>
      <c r="X165" s="3" t="str">
        <f t="shared" ca="1" si="32"/>
        <v/>
      </c>
      <c r="Y165" s="2"/>
    </row>
    <row r="166" spans="1:25">
      <c r="A166" s="3" t="str">
        <f t="shared" si="22"/>
        <v/>
      </c>
      <c r="B166" s="3" t="str">
        <f t="shared" si="23"/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3" t="str">
        <f>IF(B166&lt;&gt;"Closed","",IF(K166&gt;=M166,"Target",IF(K166&lt;=N166,"Stop",IF(R166&gt;=Settings!$B$4,"Time","Manual"))))</f>
        <v/>
      </c>
      <c r="M166" s="3" t="str">
        <f>IF(F166="","",F166*(1+Settings!$B$2))</f>
        <v/>
      </c>
      <c r="N166" s="3" t="str">
        <f>IF(F166="","",F166*(1-Settings!$B$3))</f>
        <v/>
      </c>
      <c r="O166" s="3" t="str">
        <f>IF(E166="","",E166+Settings!$B$4)</f>
        <v/>
      </c>
      <c r="P166" s="3" t="str">
        <f t="shared" si="24"/>
        <v/>
      </c>
      <c r="Q166" s="3" t="str">
        <f t="shared" si="25"/>
        <v/>
      </c>
      <c r="R166" s="3" t="str">
        <f t="shared" ca="1" si="26"/>
        <v/>
      </c>
      <c r="S166" s="3" t="str">
        <f t="shared" ca="1" si="27"/>
        <v/>
      </c>
      <c r="T166" s="3" t="str">
        <f t="shared" si="28"/>
        <v/>
      </c>
      <c r="U166" s="3" t="str">
        <f t="shared" si="29"/>
        <v/>
      </c>
      <c r="V166" s="3" t="str">
        <f t="shared" si="30"/>
        <v/>
      </c>
      <c r="W166" s="3" t="str">
        <f t="shared" ca="1" si="31"/>
        <v/>
      </c>
      <c r="X166" s="3" t="str">
        <f t="shared" ca="1" si="32"/>
        <v/>
      </c>
      <c r="Y166" s="2"/>
    </row>
    <row r="167" spans="1:25">
      <c r="A167" s="3" t="str">
        <f t="shared" si="22"/>
        <v/>
      </c>
      <c r="B167" s="3" t="str">
        <f t="shared" si="23"/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3" t="str">
        <f>IF(B167&lt;&gt;"Closed","",IF(K167&gt;=M167,"Target",IF(K167&lt;=N167,"Stop",IF(R167&gt;=Settings!$B$4,"Time","Manual"))))</f>
        <v/>
      </c>
      <c r="M167" s="3" t="str">
        <f>IF(F167="","",F167*(1+Settings!$B$2))</f>
        <v/>
      </c>
      <c r="N167" s="3" t="str">
        <f>IF(F167="","",F167*(1-Settings!$B$3))</f>
        <v/>
      </c>
      <c r="O167" s="3" t="str">
        <f>IF(E167="","",E167+Settings!$B$4)</f>
        <v/>
      </c>
      <c r="P167" s="3" t="str">
        <f t="shared" si="24"/>
        <v/>
      </c>
      <c r="Q167" s="3" t="str">
        <f t="shared" si="25"/>
        <v/>
      </c>
      <c r="R167" s="3" t="str">
        <f t="shared" ca="1" si="26"/>
        <v/>
      </c>
      <c r="S167" s="3" t="str">
        <f t="shared" ca="1" si="27"/>
        <v/>
      </c>
      <c r="T167" s="3" t="str">
        <f t="shared" si="28"/>
        <v/>
      </c>
      <c r="U167" s="3" t="str">
        <f t="shared" si="29"/>
        <v/>
      </c>
      <c r="V167" s="3" t="str">
        <f t="shared" si="30"/>
        <v/>
      </c>
      <c r="W167" s="3" t="str">
        <f t="shared" ca="1" si="31"/>
        <v/>
      </c>
      <c r="X167" s="3" t="str">
        <f t="shared" ca="1" si="32"/>
        <v/>
      </c>
      <c r="Y167" s="2"/>
    </row>
    <row r="168" spans="1:25">
      <c r="A168" s="3" t="str">
        <f t="shared" si="22"/>
        <v/>
      </c>
      <c r="B168" s="3" t="str">
        <f t="shared" si="23"/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3" t="str">
        <f>IF(B168&lt;&gt;"Closed","",IF(K168&gt;=M168,"Target",IF(K168&lt;=N168,"Stop",IF(R168&gt;=Settings!$B$4,"Time","Manual"))))</f>
        <v/>
      </c>
      <c r="M168" s="3" t="str">
        <f>IF(F168="","",F168*(1+Settings!$B$2))</f>
        <v/>
      </c>
      <c r="N168" s="3" t="str">
        <f>IF(F168="","",F168*(1-Settings!$B$3))</f>
        <v/>
      </c>
      <c r="O168" s="3" t="str">
        <f>IF(E168="","",E168+Settings!$B$4)</f>
        <v/>
      </c>
      <c r="P168" s="3" t="str">
        <f t="shared" si="24"/>
        <v/>
      </c>
      <c r="Q168" s="3" t="str">
        <f t="shared" si="25"/>
        <v/>
      </c>
      <c r="R168" s="3" t="str">
        <f t="shared" ca="1" si="26"/>
        <v/>
      </c>
      <c r="S168" s="3" t="str">
        <f t="shared" ca="1" si="27"/>
        <v/>
      </c>
      <c r="T168" s="3" t="str">
        <f t="shared" si="28"/>
        <v/>
      </c>
      <c r="U168" s="3" t="str">
        <f t="shared" si="29"/>
        <v/>
      </c>
      <c r="V168" s="3" t="str">
        <f t="shared" si="30"/>
        <v/>
      </c>
      <c r="W168" s="3" t="str">
        <f t="shared" ca="1" si="31"/>
        <v/>
      </c>
      <c r="X168" s="3" t="str">
        <f t="shared" ca="1" si="32"/>
        <v/>
      </c>
      <c r="Y168" s="2"/>
    </row>
    <row r="169" spans="1:25">
      <c r="A169" s="3" t="str">
        <f t="shared" si="22"/>
        <v/>
      </c>
      <c r="B169" s="3" t="str">
        <f t="shared" si="23"/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3" t="str">
        <f>IF(B169&lt;&gt;"Closed","",IF(K169&gt;=M169,"Target",IF(K169&lt;=N169,"Stop",IF(R169&gt;=Settings!$B$4,"Time","Manual"))))</f>
        <v/>
      </c>
      <c r="M169" s="3" t="str">
        <f>IF(F169="","",F169*(1+Settings!$B$2))</f>
        <v/>
      </c>
      <c r="N169" s="3" t="str">
        <f>IF(F169="","",F169*(1-Settings!$B$3))</f>
        <v/>
      </c>
      <c r="O169" s="3" t="str">
        <f>IF(E169="","",E169+Settings!$B$4)</f>
        <v/>
      </c>
      <c r="P169" s="3" t="str">
        <f t="shared" si="24"/>
        <v/>
      </c>
      <c r="Q169" s="3" t="str">
        <f t="shared" si="25"/>
        <v/>
      </c>
      <c r="R169" s="3" t="str">
        <f t="shared" ca="1" si="26"/>
        <v/>
      </c>
      <c r="S169" s="3" t="str">
        <f t="shared" ca="1" si="27"/>
        <v/>
      </c>
      <c r="T169" s="3" t="str">
        <f t="shared" si="28"/>
        <v/>
      </c>
      <c r="U169" s="3" t="str">
        <f t="shared" si="29"/>
        <v/>
      </c>
      <c r="V169" s="3" t="str">
        <f t="shared" si="30"/>
        <v/>
      </c>
      <c r="W169" s="3" t="str">
        <f t="shared" ca="1" si="31"/>
        <v/>
      </c>
      <c r="X169" s="3" t="str">
        <f t="shared" ca="1" si="32"/>
        <v/>
      </c>
      <c r="Y169" s="2"/>
    </row>
    <row r="170" spans="1:25">
      <c r="A170" s="3" t="str">
        <f t="shared" si="22"/>
        <v/>
      </c>
      <c r="B170" s="3" t="str">
        <f t="shared" si="23"/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3" t="str">
        <f>IF(B170&lt;&gt;"Closed","",IF(K170&gt;=M170,"Target",IF(K170&lt;=N170,"Stop",IF(R170&gt;=Settings!$B$4,"Time","Manual"))))</f>
        <v/>
      </c>
      <c r="M170" s="3" t="str">
        <f>IF(F170="","",F170*(1+Settings!$B$2))</f>
        <v/>
      </c>
      <c r="N170" s="3" t="str">
        <f>IF(F170="","",F170*(1-Settings!$B$3))</f>
        <v/>
      </c>
      <c r="O170" s="3" t="str">
        <f>IF(E170="","",E170+Settings!$B$4)</f>
        <v/>
      </c>
      <c r="P170" s="3" t="str">
        <f t="shared" si="24"/>
        <v/>
      </c>
      <c r="Q170" s="3" t="str">
        <f t="shared" si="25"/>
        <v/>
      </c>
      <c r="R170" s="3" t="str">
        <f t="shared" ca="1" si="26"/>
        <v/>
      </c>
      <c r="S170" s="3" t="str">
        <f t="shared" ca="1" si="27"/>
        <v/>
      </c>
      <c r="T170" s="3" t="str">
        <f t="shared" si="28"/>
        <v/>
      </c>
      <c r="U170" s="3" t="str">
        <f t="shared" si="29"/>
        <v/>
      </c>
      <c r="V170" s="3" t="str">
        <f t="shared" si="30"/>
        <v/>
      </c>
      <c r="W170" s="3" t="str">
        <f t="shared" ca="1" si="31"/>
        <v/>
      </c>
      <c r="X170" s="3" t="str">
        <f t="shared" ca="1" si="32"/>
        <v/>
      </c>
      <c r="Y170" s="2"/>
    </row>
    <row r="171" spans="1:25">
      <c r="A171" s="3" t="str">
        <f t="shared" si="22"/>
        <v/>
      </c>
      <c r="B171" s="3" t="str">
        <f t="shared" si="23"/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3" t="str">
        <f>IF(B171&lt;&gt;"Closed","",IF(K171&gt;=M171,"Target",IF(K171&lt;=N171,"Stop",IF(R171&gt;=Settings!$B$4,"Time","Manual"))))</f>
        <v/>
      </c>
      <c r="M171" s="3" t="str">
        <f>IF(F171="","",F171*(1+Settings!$B$2))</f>
        <v/>
      </c>
      <c r="N171" s="3" t="str">
        <f>IF(F171="","",F171*(1-Settings!$B$3))</f>
        <v/>
      </c>
      <c r="O171" s="3" t="str">
        <f>IF(E171="","",E171+Settings!$B$4)</f>
        <v/>
      </c>
      <c r="P171" s="3" t="str">
        <f t="shared" si="24"/>
        <v/>
      </c>
      <c r="Q171" s="3" t="str">
        <f t="shared" si="25"/>
        <v/>
      </c>
      <c r="R171" s="3" t="str">
        <f t="shared" ca="1" si="26"/>
        <v/>
      </c>
      <c r="S171" s="3" t="str">
        <f t="shared" ca="1" si="27"/>
        <v/>
      </c>
      <c r="T171" s="3" t="str">
        <f t="shared" si="28"/>
        <v/>
      </c>
      <c r="U171" s="3" t="str">
        <f t="shared" si="29"/>
        <v/>
      </c>
      <c r="V171" s="3" t="str">
        <f t="shared" si="30"/>
        <v/>
      </c>
      <c r="W171" s="3" t="str">
        <f t="shared" ca="1" si="31"/>
        <v/>
      </c>
      <c r="X171" s="3" t="str">
        <f t="shared" ca="1" si="32"/>
        <v/>
      </c>
      <c r="Y171" s="2"/>
    </row>
    <row r="172" spans="1:25">
      <c r="A172" s="3" t="str">
        <f t="shared" si="22"/>
        <v/>
      </c>
      <c r="B172" s="3" t="str">
        <f t="shared" si="23"/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3" t="str">
        <f>IF(B172&lt;&gt;"Closed","",IF(K172&gt;=M172,"Target",IF(K172&lt;=N172,"Stop",IF(R172&gt;=Settings!$B$4,"Time","Manual"))))</f>
        <v/>
      </c>
      <c r="M172" s="3" t="str">
        <f>IF(F172="","",F172*(1+Settings!$B$2))</f>
        <v/>
      </c>
      <c r="N172" s="3" t="str">
        <f>IF(F172="","",F172*(1-Settings!$B$3))</f>
        <v/>
      </c>
      <c r="O172" s="3" t="str">
        <f>IF(E172="","",E172+Settings!$B$4)</f>
        <v/>
      </c>
      <c r="P172" s="3" t="str">
        <f t="shared" si="24"/>
        <v/>
      </c>
      <c r="Q172" s="3" t="str">
        <f t="shared" si="25"/>
        <v/>
      </c>
      <c r="R172" s="3" t="str">
        <f t="shared" ca="1" si="26"/>
        <v/>
      </c>
      <c r="S172" s="3" t="str">
        <f t="shared" ca="1" si="27"/>
        <v/>
      </c>
      <c r="T172" s="3" t="str">
        <f t="shared" si="28"/>
        <v/>
      </c>
      <c r="U172" s="3" t="str">
        <f t="shared" si="29"/>
        <v/>
      </c>
      <c r="V172" s="3" t="str">
        <f t="shared" si="30"/>
        <v/>
      </c>
      <c r="W172" s="3" t="str">
        <f t="shared" ca="1" si="31"/>
        <v/>
      </c>
      <c r="X172" s="3" t="str">
        <f t="shared" ca="1" si="32"/>
        <v/>
      </c>
      <c r="Y172" s="2"/>
    </row>
    <row r="173" spans="1:25">
      <c r="A173" s="3" t="str">
        <f t="shared" si="22"/>
        <v/>
      </c>
      <c r="B173" s="3" t="str">
        <f t="shared" si="23"/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3" t="str">
        <f>IF(B173&lt;&gt;"Closed","",IF(K173&gt;=M173,"Target",IF(K173&lt;=N173,"Stop",IF(R173&gt;=Settings!$B$4,"Time","Manual"))))</f>
        <v/>
      </c>
      <c r="M173" s="3" t="str">
        <f>IF(F173="","",F173*(1+Settings!$B$2))</f>
        <v/>
      </c>
      <c r="N173" s="3" t="str">
        <f>IF(F173="","",F173*(1-Settings!$B$3))</f>
        <v/>
      </c>
      <c r="O173" s="3" t="str">
        <f>IF(E173="","",E173+Settings!$B$4)</f>
        <v/>
      </c>
      <c r="P173" s="3" t="str">
        <f t="shared" si="24"/>
        <v/>
      </c>
      <c r="Q173" s="3" t="str">
        <f t="shared" si="25"/>
        <v/>
      </c>
      <c r="R173" s="3" t="str">
        <f t="shared" ca="1" si="26"/>
        <v/>
      </c>
      <c r="S173" s="3" t="str">
        <f t="shared" ca="1" si="27"/>
        <v/>
      </c>
      <c r="T173" s="3" t="str">
        <f t="shared" si="28"/>
        <v/>
      </c>
      <c r="U173" s="3" t="str">
        <f t="shared" si="29"/>
        <v/>
      </c>
      <c r="V173" s="3" t="str">
        <f t="shared" si="30"/>
        <v/>
      </c>
      <c r="W173" s="3" t="str">
        <f t="shared" ca="1" si="31"/>
        <v/>
      </c>
      <c r="X173" s="3" t="str">
        <f t="shared" ca="1" si="32"/>
        <v/>
      </c>
      <c r="Y173" s="2"/>
    </row>
    <row r="174" spans="1:25">
      <c r="A174" s="3" t="str">
        <f t="shared" si="22"/>
        <v/>
      </c>
      <c r="B174" s="3" t="str">
        <f t="shared" si="23"/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3" t="str">
        <f>IF(B174&lt;&gt;"Closed","",IF(K174&gt;=M174,"Target",IF(K174&lt;=N174,"Stop",IF(R174&gt;=Settings!$B$4,"Time","Manual"))))</f>
        <v/>
      </c>
      <c r="M174" s="3" t="str">
        <f>IF(F174="","",F174*(1+Settings!$B$2))</f>
        <v/>
      </c>
      <c r="N174" s="3" t="str">
        <f>IF(F174="","",F174*(1-Settings!$B$3))</f>
        <v/>
      </c>
      <c r="O174" s="3" t="str">
        <f>IF(E174="","",E174+Settings!$B$4)</f>
        <v/>
      </c>
      <c r="P174" s="3" t="str">
        <f t="shared" si="24"/>
        <v/>
      </c>
      <c r="Q174" s="3" t="str">
        <f t="shared" si="25"/>
        <v/>
      </c>
      <c r="R174" s="3" t="str">
        <f t="shared" ca="1" si="26"/>
        <v/>
      </c>
      <c r="S174" s="3" t="str">
        <f t="shared" ca="1" si="27"/>
        <v/>
      </c>
      <c r="T174" s="3" t="str">
        <f t="shared" si="28"/>
        <v/>
      </c>
      <c r="U174" s="3" t="str">
        <f t="shared" si="29"/>
        <v/>
      </c>
      <c r="V174" s="3" t="str">
        <f t="shared" si="30"/>
        <v/>
      </c>
      <c r="W174" s="3" t="str">
        <f t="shared" ca="1" si="31"/>
        <v/>
      </c>
      <c r="X174" s="3" t="str">
        <f t="shared" ca="1" si="32"/>
        <v/>
      </c>
      <c r="Y174" s="2"/>
    </row>
    <row r="175" spans="1:25">
      <c r="A175" s="3" t="str">
        <f t="shared" si="22"/>
        <v/>
      </c>
      <c r="B175" s="3" t="str">
        <f t="shared" si="23"/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3" t="str">
        <f>IF(B175&lt;&gt;"Closed","",IF(K175&gt;=M175,"Target",IF(K175&lt;=N175,"Stop",IF(R175&gt;=Settings!$B$4,"Time","Manual"))))</f>
        <v/>
      </c>
      <c r="M175" s="3" t="str">
        <f>IF(F175="","",F175*(1+Settings!$B$2))</f>
        <v/>
      </c>
      <c r="N175" s="3" t="str">
        <f>IF(F175="","",F175*(1-Settings!$B$3))</f>
        <v/>
      </c>
      <c r="O175" s="3" t="str">
        <f>IF(E175="","",E175+Settings!$B$4)</f>
        <v/>
      </c>
      <c r="P175" s="3" t="str">
        <f t="shared" si="24"/>
        <v/>
      </c>
      <c r="Q175" s="3" t="str">
        <f t="shared" si="25"/>
        <v/>
      </c>
      <c r="R175" s="3" t="str">
        <f t="shared" ca="1" si="26"/>
        <v/>
      </c>
      <c r="S175" s="3" t="str">
        <f t="shared" ca="1" si="27"/>
        <v/>
      </c>
      <c r="T175" s="3" t="str">
        <f t="shared" si="28"/>
        <v/>
      </c>
      <c r="U175" s="3" t="str">
        <f t="shared" si="29"/>
        <v/>
      </c>
      <c r="V175" s="3" t="str">
        <f t="shared" si="30"/>
        <v/>
      </c>
      <c r="W175" s="3" t="str">
        <f t="shared" ca="1" si="31"/>
        <v/>
      </c>
      <c r="X175" s="3" t="str">
        <f t="shared" ca="1" si="32"/>
        <v/>
      </c>
      <c r="Y175" s="2"/>
    </row>
    <row r="176" spans="1:25">
      <c r="A176" s="3" t="str">
        <f t="shared" si="22"/>
        <v/>
      </c>
      <c r="B176" s="3" t="str">
        <f t="shared" si="23"/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3" t="str">
        <f>IF(B176&lt;&gt;"Closed","",IF(K176&gt;=M176,"Target",IF(K176&lt;=N176,"Stop",IF(R176&gt;=Settings!$B$4,"Time","Manual"))))</f>
        <v/>
      </c>
      <c r="M176" s="3" t="str">
        <f>IF(F176="","",F176*(1+Settings!$B$2))</f>
        <v/>
      </c>
      <c r="N176" s="3" t="str">
        <f>IF(F176="","",F176*(1-Settings!$B$3))</f>
        <v/>
      </c>
      <c r="O176" s="3" t="str">
        <f>IF(E176="","",E176+Settings!$B$4)</f>
        <v/>
      </c>
      <c r="P176" s="3" t="str">
        <f t="shared" si="24"/>
        <v/>
      </c>
      <c r="Q176" s="3" t="str">
        <f t="shared" si="25"/>
        <v/>
      </c>
      <c r="R176" s="3" t="str">
        <f t="shared" ca="1" si="26"/>
        <v/>
      </c>
      <c r="S176" s="3" t="str">
        <f t="shared" ca="1" si="27"/>
        <v/>
      </c>
      <c r="T176" s="3" t="str">
        <f t="shared" si="28"/>
        <v/>
      </c>
      <c r="U176" s="3" t="str">
        <f t="shared" si="29"/>
        <v/>
      </c>
      <c r="V176" s="3" t="str">
        <f t="shared" si="30"/>
        <v/>
      </c>
      <c r="W176" s="3" t="str">
        <f t="shared" ca="1" si="31"/>
        <v/>
      </c>
      <c r="X176" s="3" t="str">
        <f t="shared" ca="1" si="32"/>
        <v/>
      </c>
      <c r="Y176" s="2"/>
    </row>
    <row r="177" spans="1:25">
      <c r="A177" s="3" t="str">
        <f t="shared" si="22"/>
        <v/>
      </c>
      <c r="B177" s="3" t="str">
        <f t="shared" si="23"/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3" t="str">
        <f>IF(B177&lt;&gt;"Closed","",IF(K177&gt;=M177,"Target",IF(K177&lt;=N177,"Stop",IF(R177&gt;=Settings!$B$4,"Time","Manual"))))</f>
        <v/>
      </c>
      <c r="M177" s="3" t="str">
        <f>IF(F177="","",F177*(1+Settings!$B$2))</f>
        <v/>
      </c>
      <c r="N177" s="3" t="str">
        <f>IF(F177="","",F177*(1-Settings!$B$3))</f>
        <v/>
      </c>
      <c r="O177" s="3" t="str">
        <f>IF(E177="","",E177+Settings!$B$4)</f>
        <v/>
      </c>
      <c r="P177" s="3" t="str">
        <f t="shared" si="24"/>
        <v/>
      </c>
      <c r="Q177" s="3" t="str">
        <f t="shared" si="25"/>
        <v/>
      </c>
      <c r="R177" s="3" t="str">
        <f t="shared" ca="1" si="26"/>
        <v/>
      </c>
      <c r="S177" s="3" t="str">
        <f t="shared" ca="1" si="27"/>
        <v/>
      </c>
      <c r="T177" s="3" t="str">
        <f t="shared" si="28"/>
        <v/>
      </c>
      <c r="U177" s="3" t="str">
        <f t="shared" si="29"/>
        <v/>
      </c>
      <c r="V177" s="3" t="str">
        <f t="shared" si="30"/>
        <v/>
      </c>
      <c r="W177" s="3" t="str">
        <f t="shared" ca="1" si="31"/>
        <v/>
      </c>
      <c r="X177" s="3" t="str">
        <f t="shared" ca="1" si="32"/>
        <v/>
      </c>
      <c r="Y177" s="2"/>
    </row>
    <row r="178" spans="1:25">
      <c r="A178" s="3" t="str">
        <f t="shared" si="22"/>
        <v/>
      </c>
      <c r="B178" s="3" t="str">
        <f t="shared" si="23"/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3" t="str">
        <f>IF(B178&lt;&gt;"Closed","",IF(K178&gt;=M178,"Target",IF(K178&lt;=N178,"Stop",IF(R178&gt;=Settings!$B$4,"Time","Manual"))))</f>
        <v/>
      </c>
      <c r="M178" s="3" t="str">
        <f>IF(F178="","",F178*(1+Settings!$B$2))</f>
        <v/>
      </c>
      <c r="N178" s="3" t="str">
        <f>IF(F178="","",F178*(1-Settings!$B$3))</f>
        <v/>
      </c>
      <c r="O178" s="3" t="str">
        <f>IF(E178="","",E178+Settings!$B$4)</f>
        <v/>
      </c>
      <c r="P178" s="3" t="str">
        <f t="shared" si="24"/>
        <v/>
      </c>
      <c r="Q178" s="3" t="str">
        <f t="shared" si="25"/>
        <v/>
      </c>
      <c r="R178" s="3" t="str">
        <f t="shared" ca="1" si="26"/>
        <v/>
      </c>
      <c r="S178" s="3" t="str">
        <f t="shared" ca="1" si="27"/>
        <v/>
      </c>
      <c r="T178" s="3" t="str">
        <f t="shared" si="28"/>
        <v/>
      </c>
      <c r="U178" s="3" t="str">
        <f t="shared" si="29"/>
        <v/>
      </c>
      <c r="V178" s="3" t="str">
        <f t="shared" si="30"/>
        <v/>
      </c>
      <c r="W178" s="3" t="str">
        <f t="shared" ca="1" si="31"/>
        <v/>
      </c>
      <c r="X178" s="3" t="str">
        <f t="shared" ca="1" si="32"/>
        <v/>
      </c>
      <c r="Y178" s="2"/>
    </row>
    <row r="179" spans="1:25">
      <c r="A179" s="3" t="str">
        <f t="shared" si="22"/>
        <v/>
      </c>
      <c r="B179" s="3" t="str">
        <f t="shared" si="23"/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3" t="str">
        <f>IF(B179&lt;&gt;"Closed","",IF(K179&gt;=M179,"Target",IF(K179&lt;=N179,"Stop",IF(R179&gt;=Settings!$B$4,"Time","Manual"))))</f>
        <v/>
      </c>
      <c r="M179" s="3" t="str">
        <f>IF(F179="","",F179*(1+Settings!$B$2))</f>
        <v/>
      </c>
      <c r="N179" s="3" t="str">
        <f>IF(F179="","",F179*(1-Settings!$B$3))</f>
        <v/>
      </c>
      <c r="O179" s="3" t="str">
        <f>IF(E179="","",E179+Settings!$B$4)</f>
        <v/>
      </c>
      <c r="P179" s="3" t="str">
        <f t="shared" si="24"/>
        <v/>
      </c>
      <c r="Q179" s="3" t="str">
        <f t="shared" si="25"/>
        <v/>
      </c>
      <c r="R179" s="3" t="str">
        <f t="shared" ca="1" si="26"/>
        <v/>
      </c>
      <c r="S179" s="3" t="str">
        <f t="shared" ca="1" si="27"/>
        <v/>
      </c>
      <c r="T179" s="3" t="str">
        <f t="shared" si="28"/>
        <v/>
      </c>
      <c r="U179" s="3" t="str">
        <f t="shared" si="29"/>
        <v/>
      </c>
      <c r="V179" s="3" t="str">
        <f t="shared" si="30"/>
        <v/>
      </c>
      <c r="W179" s="3" t="str">
        <f t="shared" ca="1" si="31"/>
        <v/>
      </c>
      <c r="X179" s="3" t="str">
        <f t="shared" ca="1" si="32"/>
        <v/>
      </c>
      <c r="Y179" s="2"/>
    </row>
    <row r="180" spans="1:25">
      <c r="A180" s="3" t="str">
        <f t="shared" si="22"/>
        <v/>
      </c>
      <c r="B180" s="3" t="str">
        <f t="shared" si="23"/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3" t="str">
        <f>IF(B180&lt;&gt;"Closed","",IF(K180&gt;=M180,"Target",IF(K180&lt;=N180,"Stop",IF(R180&gt;=Settings!$B$4,"Time","Manual"))))</f>
        <v/>
      </c>
      <c r="M180" s="3" t="str">
        <f>IF(F180="","",F180*(1+Settings!$B$2))</f>
        <v/>
      </c>
      <c r="N180" s="3" t="str">
        <f>IF(F180="","",F180*(1-Settings!$B$3))</f>
        <v/>
      </c>
      <c r="O180" s="3" t="str">
        <f>IF(E180="","",E180+Settings!$B$4)</f>
        <v/>
      </c>
      <c r="P180" s="3" t="str">
        <f t="shared" si="24"/>
        <v/>
      </c>
      <c r="Q180" s="3" t="str">
        <f t="shared" si="25"/>
        <v/>
      </c>
      <c r="R180" s="3" t="str">
        <f t="shared" ca="1" si="26"/>
        <v/>
      </c>
      <c r="S180" s="3" t="str">
        <f t="shared" ca="1" si="27"/>
        <v/>
      </c>
      <c r="T180" s="3" t="str">
        <f t="shared" si="28"/>
        <v/>
      </c>
      <c r="U180" s="3" t="str">
        <f t="shared" si="29"/>
        <v/>
      </c>
      <c r="V180" s="3" t="str">
        <f t="shared" si="30"/>
        <v/>
      </c>
      <c r="W180" s="3" t="str">
        <f t="shared" ca="1" si="31"/>
        <v/>
      </c>
      <c r="X180" s="3" t="str">
        <f t="shared" ca="1" si="32"/>
        <v/>
      </c>
      <c r="Y180" s="2"/>
    </row>
    <row r="181" spans="1:25">
      <c r="A181" s="3" t="str">
        <f t="shared" si="22"/>
        <v/>
      </c>
      <c r="B181" s="3" t="str">
        <f t="shared" si="23"/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3" t="str">
        <f>IF(B181&lt;&gt;"Closed","",IF(K181&gt;=M181,"Target",IF(K181&lt;=N181,"Stop",IF(R181&gt;=Settings!$B$4,"Time","Manual"))))</f>
        <v/>
      </c>
      <c r="M181" s="3" t="str">
        <f>IF(F181="","",F181*(1+Settings!$B$2))</f>
        <v/>
      </c>
      <c r="N181" s="3" t="str">
        <f>IF(F181="","",F181*(1-Settings!$B$3))</f>
        <v/>
      </c>
      <c r="O181" s="3" t="str">
        <f>IF(E181="","",E181+Settings!$B$4)</f>
        <v/>
      </c>
      <c r="P181" s="3" t="str">
        <f t="shared" si="24"/>
        <v/>
      </c>
      <c r="Q181" s="3" t="str">
        <f t="shared" si="25"/>
        <v/>
      </c>
      <c r="R181" s="3" t="str">
        <f t="shared" ca="1" si="26"/>
        <v/>
      </c>
      <c r="S181" s="3" t="str">
        <f t="shared" ca="1" si="27"/>
        <v/>
      </c>
      <c r="T181" s="3" t="str">
        <f t="shared" si="28"/>
        <v/>
      </c>
      <c r="U181" s="3" t="str">
        <f t="shared" si="29"/>
        <v/>
      </c>
      <c r="V181" s="3" t="str">
        <f t="shared" si="30"/>
        <v/>
      </c>
      <c r="W181" s="3" t="str">
        <f t="shared" ca="1" si="31"/>
        <v/>
      </c>
      <c r="X181" s="3" t="str">
        <f t="shared" ca="1" si="32"/>
        <v/>
      </c>
      <c r="Y181" s="2"/>
    </row>
    <row r="182" spans="1:25">
      <c r="A182" s="3" t="str">
        <f t="shared" si="22"/>
        <v/>
      </c>
      <c r="B182" s="3" t="str">
        <f t="shared" si="23"/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3" t="str">
        <f>IF(B182&lt;&gt;"Closed","",IF(K182&gt;=M182,"Target",IF(K182&lt;=N182,"Stop",IF(R182&gt;=Settings!$B$4,"Time","Manual"))))</f>
        <v/>
      </c>
      <c r="M182" s="3" t="str">
        <f>IF(F182="","",F182*(1+Settings!$B$2))</f>
        <v/>
      </c>
      <c r="N182" s="3" t="str">
        <f>IF(F182="","",F182*(1-Settings!$B$3))</f>
        <v/>
      </c>
      <c r="O182" s="3" t="str">
        <f>IF(E182="","",E182+Settings!$B$4)</f>
        <v/>
      </c>
      <c r="P182" s="3" t="str">
        <f t="shared" si="24"/>
        <v/>
      </c>
      <c r="Q182" s="3" t="str">
        <f t="shared" si="25"/>
        <v/>
      </c>
      <c r="R182" s="3" t="str">
        <f t="shared" ca="1" si="26"/>
        <v/>
      </c>
      <c r="S182" s="3" t="str">
        <f t="shared" ca="1" si="27"/>
        <v/>
      </c>
      <c r="T182" s="3" t="str">
        <f t="shared" si="28"/>
        <v/>
      </c>
      <c r="U182" s="3" t="str">
        <f t="shared" si="29"/>
        <v/>
      </c>
      <c r="V182" s="3" t="str">
        <f t="shared" si="30"/>
        <v/>
      </c>
      <c r="W182" s="3" t="str">
        <f t="shared" ca="1" si="31"/>
        <v/>
      </c>
      <c r="X182" s="3" t="str">
        <f t="shared" ca="1" si="32"/>
        <v/>
      </c>
      <c r="Y182" s="2"/>
    </row>
    <row r="183" spans="1:25">
      <c r="A183" s="3" t="str">
        <f t="shared" si="22"/>
        <v/>
      </c>
      <c r="B183" s="3" t="str">
        <f t="shared" si="23"/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3" t="str">
        <f>IF(B183&lt;&gt;"Closed","",IF(K183&gt;=M183,"Target",IF(K183&lt;=N183,"Stop",IF(R183&gt;=Settings!$B$4,"Time","Manual"))))</f>
        <v/>
      </c>
      <c r="M183" s="3" t="str">
        <f>IF(F183="","",F183*(1+Settings!$B$2))</f>
        <v/>
      </c>
      <c r="N183" s="3" t="str">
        <f>IF(F183="","",F183*(1-Settings!$B$3))</f>
        <v/>
      </c>
      <c r="O183" s="3" t="str">
        <f>IF(E183="","",E183+Settings!$B$4)</f>
        <v/>
      </c>
      <c r="P183" s="3" t="str">
        <f t="shared" si="24"/>
        <v/>
      </c>
      <c r="Q183" s="3" t="str">
        <f t="shared" si="25"/>
        <v/>
      </c>
      <c r="R183" s="3" t="str">
        <f t="shared" ca="1" si="26"/>
        <v/>
      </c>
      <c r="S183" s="3" t="str">
        <f t="shared" ca="1" si="27"/>
        <v/>
      </c>
      <c r="T183" s="3" t="str">
        <f t="shared" si="28"/>
        <v/>
      </c>
      <c r="U183" s="3" t="str">
        <f t="shared" si="29"/>
        <v/>
      </c>
      <c r="V183" s="3" t="str">
        <f t="shared" si="30"/>
        <v/>
      </c>
      <c r="W183" s="3" t="str">
        <f t="shared" ca="1" si="31"/>
        <v/>
      </c>
      <c r="X183" s="3" t="str">
        <f t="shared" ca="1" si="32"/>
        <v/>
      </c>
      <c r="Y183" s="2"/>
    </row>
    <row r="184" spans="1:25">
      <c r="A184" s="3" t="str">
        <f t="shared" si="22"/>
        <v/>
      </c>
      <c r="B184" s="3" t="str">
        <f t="shared" si="23"/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3" t="str">
        <f>IF(B184&lt;&gt;"Closed","",IF(K184&gt;=M184,"Target",IF(K184&lt;=N184,"Stop",IF(R184&gt;=Settings!$B$4,"Time","Manual"))))</f>
        <v/>
      </c>
      <c r="M184" s="3" t="str">
        <f>IF(F184="","",F184*(1+Settings!$B$2))</f>
        <v/>
      </c>
      <c r="N184" s="3" t="str">
        <f>IF(F184="","",F184*(1-Settings!$B$3))</f>
        <v/>
      </c>
      <c r="O184" s="3" t="str">
        <f>IF(E184="","",E184+Settings!$B$4)</f>
        <v/>
      </c>
      <c r="P184" s="3" t="str">
        <f t="shared" si="24"/>
        <v/>
      </c>
      <c r="Q184" s="3" t="str">
        <f t="shared" si="25"/>
        <v/>
      </c>
      <c r="R184" s="3" t="str">
        <f t="shared" ca="1" si="26"/>
        <v/>
      </c>
      <c r="S184" s="3" t="str">
        <f t="shared" ca="1" si="27"/>
        <v/>
      </c>
      <c r="T184" s="3" t="str">
        <f t="shared" si="28"/>
        <v/>
      </c>
      <c r="U184" s="3" t="str">
        <f t="shared" si="29"/>
        <v/>
      </c>
      <c r="V184" s="3" t="str">
        <f t="shared" si="30"/>
        <v/>
      </c>
      <c r="W184" s="3" t="str">
        <f t="shared" ca="1" si="31"/>
        <v/>
      </c>
      <c r="X184" s="3" t="str">
        <f t="shared" ca="1" si="32"/>
        <v/>
      </c>
      <c r="Y184" s="2"/>
    </row>
    <row r="185" spans="1:25">
      <c r="A185" s="3" t="str">
        <f t="shared" si="22"/>
        <v/>
      </c>
      <c r="B185" s="3" t="str">
        <f t="shared" si="23"/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3" t="str">
        <f>IF(B185&lt;&gt;"Closed","",IF(K185&gt;=M185,"Target",IF(K185&lt;=N185,"Stop",IF(R185&gt;=Settings!$B$4,"Time","Manual"))))</f>
        <v/>
      </c>
      <c r="M185" s="3" t="str">
        <f>IF(F185="","",F185*(1+Settings!$B$2))</f>
        <v/>
      </c>
      <c r="N185" s="3" t="str">
        <f>IF(F185="","",F185*(1-Settings!$B$3))</f>
        <v/>
      </c>
      <c r="O185" s="3" t="str">
        <f>IF(E185="","",E185+Settings!$B$4)</f>
        <v/>
      </c>
      <c r="P185" s="3" t="str">
        <f t="shared" si="24"/>
        <v/>
      </c>
      <c r="Q185" s="3" t="str">
        <f t="shared" si="25"/>
        <v/>
      </c>
      <c r="R185" s="3" t="str">
        <f t="shared" ca="1" si="26"/>
        <v/>
      </c>
      <c r="S185" s="3" t="str">
        <f t="shared" ca="1" si="27"/>
        <v/>
      </c>
      <c r="T185" s="3" t="str">
        <f t="shared" si="28"/>
        <v/>
      </c>
      <c r="U185" s="3" t="str">
        <f t="shared" si="29"/>
        <v/>
      </c>
      <c r="V185" s="3" t="str">
        <f t="shared" si="30"/>
        <v/>
      </c>
      <c r="W185" s="3" t="str">
        <f t="shared" ca="1" si="31"/>
        <v/>
      </c>
      <c r="X185" s="3" t="str">
        <f t="shared" ca="1" si="32"/>
        <v/>
      </c>
      <c r="Y185" s="2"/>
    </row>
    <row r="186" spans="1:25">
      <c r="A186" s="3" t="str">
        <f t="shared" si="22"/>
        <v/>
      </c>
      <c r="B186" s="3" t="str">
        <f t="shared" si="23"/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3" t="str">
        <f>IF(B186&lt;&gt;"Closed","",IF(K186&gt;=M186,"Target",IF(K186&lt;=N186,"Stop",IF(R186&gt;=Settings!$B$4,"Time","Manual"))))</f>
        <v/>
      </c>
      <c r="M186" s="3" t="str">
        <f>IF(F186="","",F186*(1+Settings!$B$2))</f>
        <v/>
      </c>
      <c r="N186" s="3" t="str">
        <f>IF(F186="","",F186*(1-Settings!$B$3))</f>
        <v/>
      </c>
      <c r="O186" s="3" t="str">
        <f>IF(E186="","",E186+Settings!$B$4)</f>
        <v/>
      </c>
      <c r="P186" s="3" t="str">
        <f t="shared" si="24"/>
        <v/>
      </c>
      <c r="Q186" s="3" t="str">
        <f t="shared" si="25"/>
        <v/>
      </c>
      <c r="R186" s="3" t="str">
        <f t="shared" ca="1" si="26"/>
        <v/>
      </c>
      <c r="S186" s="3" t="str">
        <f t="shared" ca="1" si="27"/>
        <v/>
      </c>
      <c r="T186" s="3" t="str">
        <f t="shared" si="28"/>
        <v/>
      </c>
      <c r="U186" s="3" t="str">
        <f t="shared" si="29"/>
        <v/>
      </c>
      <c r="V186" s="3" t="str">
        <f t="shared" si="30"/>
        <v/>
      </c>
      <c r="W186" s="3" t="str">
        <f t="shared" ca="1" si="31"/>
        <v/>
      </c>
      <c r="X186" s="3" t="str">
        <f t="shared" ca="1" si="32"/>
        <v/>
      </c>
      <c r="Y186" s="2"/>
    </row>
    <row r="187" spans="1:25">
      <c r="A187" s="3" t="str">
        <f t="shared" si="22"/>
        <v/>
      </c>
      <c r="B187" s="3" t="str">
        <f t="shared" si="23"/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3" t="str">
        <f>IF(B187&lt;&gt;"Closed","",IF(K187&gt;=M187,"Target",IF(K187&lt;=N187,"Stop",IF(R187&gt;=Settings!$B$4,"Time","Manual"))))</f>
        <v/>
      </c>
      <c r="M187" s="3" t="str">
        <f>IF(F187="","",F187*(1+Settings!$B$2))</f>
        <v/>
      </c>
      <c r="N187" s="3" t="str">
        <f>IF(F187="","",F187*(1-Settings!$B$3))</f>
        <v/>
      </c>
      <c r="O187" s="3" t="str">
        <f>IF(E187="","",E187+Settings!$B$4)</f>
        <v/>
      </c>
      <c r="P187" s="3" t="str">
        <f t="shared" si="24"/>
        <v/>
      </c>
      <c r="Q187" s="3" t="str">
        <f t="shared" si="25"/>
        <v/>
      </c>
      <c r="R187" s="3" t="str">
        <f t="shared" ca="1" si="26"/>
        <v/>
      </c>
      <c r="S187" s="3" t="str">
        <f t="shared" ca="1" si="27"/>
        <v/>
      </c>
      <c r="T187" s="3" t="str">
        <f t="shared" si="28"/>
        <v/>
      </c>
      <c r="U187" s="3" t="str">
        <f t="shared" si="29"/>
        <v/>
      </c>
      <c r="V187" s="3" t="str">
        <f t="shared" si="30"/>
        <v/>
      </c>
      <c r="W187" s="3" t="str">
        <f t="shared" ca="1" si="31"/>
        <v/>
      </c>
      <c r="X187" s="3" t="str">
        <f t="shared" ca="1" si="32"/>
        <v/>
      </c>
      <c r="Y187" s="2"/>
    </row>
    <row r="188" spans="1:25">
      <c r="A188" s="3" t="str">
        <f t="shared" si="22"/>
        <v/>
      </c>
      <c r="B188" s="3" t="str">
        <f t="shared" si="23"/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3" t="str">
        <f>IF(B188&lt;&gt;"Closed","",IF(K188&gt;=M188,"Target",IF(K188&lt;=N188,"Stop",IF(R188&gt;=Settings!$B$4,"Time","Manual"))))</f>
        <v/>
      </c>
      <c r="M188" s="3" t="str">
        <f>IF(F188="","",F188*(1+Settings!$B$2))</f>
        <v/>
      </c>
      <c r="N188" s="3" t="str">
        <f>IF(F188="","",F188*(1-Settings!$B$3))</f>
        <v/>
      </c>
      <c r="O188" s="3" t="str">
        <f>IF(E188="","",E188+Settings!$B$4)</f>
        <v/>
      </c>
      <c r="P188" s="3" t="str">
        <f t="shared" si="24"/>
        <v/>
      </c>
      <c r="Q188" s="3" t="str">
        <f t="shared" si="25"/>
        <v/>
      </c>
      <c r="R188" s="3" t="str">
        <f t="shared" ca="1" si="26"/>
        <v/>
      </c>
      <c r="S188" s="3" t="str">
        <f t="shared" ca="1" si="27"/>
        <v/>
      </c>
      <c r="T188" s="3" t="str">
        <f t="shared" si="28"/>
        <v/>
      </c>
      <c r="U188" s="3" t="str">
        <f t="shared" si="29"/>
        <v/>
      </c>
      <c r="V188" s="3" t="str">
        <f t="shared" si="30"/>
        <v/>
      </c>
      <c r="W188" s="3" t="str">
        <f t="shared" ca="1" si="31"/>
        <v/>
      </c>
      <c r="X188" s="3" t="str">
        <f t="shared" ca="1" si="32"/>
        <v/>
      </c>
      <c r="Y188" s="2"/>
    </row>
    <row r="189" spans="1:25">
      <c r="A189" s="3" t="str">
        <f t="shared" si="22"/>
        <v/>
      </c>
      <c r="B189" s="3" t="str">
        <f t="shared" si="23"/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3" t="str">
        <f>IF(B189&lt;&gt;"Closed","",IF(K189&gt;=M189,"Target",IF(K189&lt;=N189,"Stop",IF(R189&gt;=Settings!$B$4,"Time","Manual"))))</f>
        <v/>
      </c>
      <c r="M189" s="3" t="str">
        <f>IF(F189="","",F189*(1+Settings!$B$2))</f>
        <v/>
      </c>
      <c r="N189" s="3" t="str">
        <f>IF(F189="","",F189*(1-Settings!$B$3))</f>
        <v/>
      </c>
      <c r="O189" s="3" t="str">
        <f>IF(E189="","",E189+Settings!$B$4)</f>
        <v/>
      </c>
      <c r="P189" s="3" t="str">
        <f t="shared" si="24"/>
        <v/>
      </c>
      <c r="Q189" s="3" t="str">
        <f t="shared" si="25"/>
        <v/>
      </c>
      <c r="R189" s="3" t="str">
        <f t="shared" ca="1" si="26"/>
        <v/>
      </c>
      <c r="S189" s="3" t="str">
        <f t="shared" ca="1" si="27"/>
        <v/>
      </c>
      <c r="T189" s="3" t="str">
        <f t="shared" si="28"/>
        <v/>
      </c>
      <c r="U189" s="3" t="str">
        <f t="shared" si="29"/>
        <v/>
      </c>
      <c r="V189" s="3" t="str">
        <f t="shared" si="30"/>
        <v/>
      </c>
      <c r="W189" s="3" t="str">
        <f t="shared" ca="1" si="31"/>
        <v/>
      </c>
      <c r="X189" s="3" t="str">
        <f t="shared" ca="1" si="32"/>
        <v/>
      </c>
      <c r="Y189" s="2"/>
    </row>
    <row r="190" spans="1:25">
      <c r="A190" s="3" t="str">
        <f t="shared" si="22"/>
        <v/>
      </c>
      <c r="B190" s="3" t="str">
        <f t="shared" si="23"/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3" t="str">
        <f>IF(B190&lt;&gt;"Closed","",IF(K190&gt;=M190,"Target",IF(K190&lt;=N190,"Stop",IF(R190&gt;=Settings!$B$4,"Time","Manual"))))</f>
        <v/>
      </c>
      <c r="M190" s="3" t="str">
        <f>IF(F190="","",F190*(1+Settings!$B$2))</f>
        <v/>
      </c>
      <c r="N190" s="3" t="str">
        <f>IF(F190="","",F190*(1-Settings!$B$3))</f>
        <v/>
      </c>
      <c r="O190" s="3" t="str">
        <f>IF(E190="","",E190+Settings!$B$4)</f>
        <v/>
      </c>
      <c r="P190" s="3" t="str">
        <f t="shared" si="24"/>
        <v/>
      </c>
      <c r="Q190" s="3" t="str">
        <f t="shared" si="25"/>
        <v/>
      </c>
      <c r="R190" s="3" t="str">
        <f t="shared" ca="1" si="26"/>
        <v/>
      </c>
      <c r="S190" s="3" t="str">
        <f t="shared" ca="1" si="27"/>
        <v/>
      </c>
      <c r="T190" s="3" t="str">
        <f t="shared" si="28"/>
        <v/>
      </c>
      <c r="U190" s="3" t="str">
        <f t="shared" si="29"/>
        <v/>
      </c>
      <c r="V190" s="3" t="str">
        <f t="shared" si="30"/>
        <v/>
      </c>
      <c r="W190" s="3" t="str">
        <f t="shared" ca="1" si="31"/>
        <v/>
      </c>
      <c r="X190" s="3" t="str">
        <f t="shared" ca="1" si="32"/>
        <v/>
      </c>
      <c r="Y190" s="2"/>
    </row>
    <row r="191" spans="1:25">
      <c r="A191" s="3" t="str">
        <f t="shared" si="22"/>
        <v/>
      </c>
      <c r="B191" s="3" t="str">
        <f t="shared" si="23"/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3" t="str">
        <f>IF(B191&lt;&gt;"Closed","",IF(K191&gt;=M191,"Target",IF(K191&lt;=N191,"Stop",IF(R191&gt;=Settings!$B$4,"Time","Manual"))))</f>
        <v/>
      </c>
      <c r="M191" s="3" t="str">
        <f>IF(F191="","",F191*(1+Settings!$B$2))</f>
        <v/>
      </c>
      <c r="N191" s="3" t="str">
        <f>IF(F191="","",F191*(1-Settings!$B$3))</f>
        <v/>
      </c>
      <c r="O191" s="3" t="str">
        <f>IF(E191="","",E191+Settings!$B$4)</f>
        <v/>
      </c>
      <c r="P191" s="3" t="str">
        <f t="shared" si="24"/>
        <v/>
      </c>
      <c r="Q191" s="3" t="str">
        <f t="shared" si="25"/>
        <v/>
      </c>
      <c r="R191" s="3" t="str">
        <f t="shared" ca="1" si="26"/>
        <v/>
      </c>
      <c r="S191" s="3" t="str">
        <f t="shared" ca="1" si="27"/>
        <v/>
      </c>
      <c r="T191" s="3" t="str">
        <f t="shared" si="28"/>
        <v/>
      </c>
      <c r="U191" s="3" t="str">
        <f t="shared" si="29"/>
        <v/>
      </c>
      <c r="V191" s="3" t="str">
        <f t="shared" si="30"/>
        <v/>
      </c>
      <c r="W191" s="3" t="str">
        <f t="shared" ca="1" si="31"/>
        <v/>
      </c>
      <c r="X191" s="3" t="str">
        <f t="shared" ca="1" si="32"/>
        <v/>
      </c>
      <c r="Y191" s="2"/>
    </row>
    <row r="192" spans="1:25">
      <c r="A192" s="3" t="str">
        <f t="shared" si="22"/>
        <v/>
      </c>
      <c r="B192" s="3" t="str">
        <f t="shared" si="23"/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3" t="str">
        <f>IF(B192&lt;&gt;"Closed","",IF(K192&gt;=M192,"Target",IF(K192&lt;=N192,"Stop",IF(R192&gt;=Settings!$B$4,"Time","Manual"))))</f>
        <v/>
      </c>
      <c r="M192" s="3" t="str">
        <f>IF(F192="","",F192*(1+Settings!$B$2))</f>
        <v/>
      </c>
      <c r="N192" s="3" t="str">
        <f>IF(F192="","",F192*(1-Settings!$B$3))</f>
        <v/>
      </c>
      <c r="O192" s="3" t="str">
        <f>IF(E192="","",E192+Settings!$B$4)</f>
        <v/>
      </c>
      <c r="P192" s="3" t="str">
        <f t="shared" si="24"/>
        <v/>
      </c>
      <c r="Q192" s="3" t="str">
        <f t="shared" si="25"/>
        <v/>
      </c>
      <c r="R192" s="3" t="str">
        <f t="shared" ca="1" si="26"/>
        <v/>
      </c>
      <c r="S192" s="3" t="str">
        <f t="shared" ca="1" si="27"/>
        <v/>
      </c>
      <c r="T192" s="3" t="str">
        <f t="shared" si="28"/>
        <v/>
      </c>
      <c r="U192" s="3" t="str">
        <f t="shared" si="29"/>
        <v/>
      </c>
      <c r="V192" s="3" t="str">
        <f t="shared" si="30"/>
        <v/>
      </c>
      <c r="W192" s="3" t="str">
        <f t="shared" ca="1" si="31"/>
        <v/>
      </c>
      <c r="X192" s="3" t="str">
        <f t="shared" ca="1" si="32"/>
        <v/>
      </c>
      <c r="Y192" s="2"/>
    </row>
    <row r="193" spans="1:25">
      <c r="A193" s="3" t="str">
        <f t="shared" si="22"/>
        <v/>
      </c>
      <c r="B193" s="3" t="str">
        <f t="shared" si="23"/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3" t="str">
        <f>IF(B193&lt;&gt;"Closed","",IF(K193&gt;=M193,"Target",IF(K193&lt;=N193,"Stop",IF(R193&gt;=Settings!$B$4,"Time","Manual"))))</f>
        <v/>
      </c>
      <c r="M193" s="3" t="str">
        <f>IF(F193="","",F193*(1+Settings!$B$2))</f>
        <v/>
      </c>
      <c r="N193" s="3" t="str">
        <f>IF(F193="","",F193*(1-Settings!$B$3))</f>
        <v/>
      </c>
      <c r="O193" s="3" t="str">
        <f>IF(E193="","",E193+Settings!$B$4)</f>
        <v/>
      </c>
      <c r="P193" s="3" t="str">
        <f t="shared" si="24"/>
        <v/>
      </c>
      <c r="Q193" s="3" t="str">
        <f t="shared" si="25"/>
        <v/>
      </c>
      <c r="R193" s="3" t="str">
        <f t="shared" ca="1" si="26"/>
        <v/>
      </c>
      <c r="S193" s="3" t="str">
        <f t="shared" ca="1" si="27"/>
        <v/>
      </c>
      <c r="T193" s="3" t="str">
        <f t="shared" si="28"/>
        <v/>
      </c>
      <c r="U193" s="3" t="str">
        <f t="shared" si="29"/>
        <v/>
      </c>
      <c r="V193" s="3" t="str">
        <f t="shared" si="30"/>
        <v/>
      </c>
      <c r="W193" s="3" t="str">
        <f t="shared" ca="1" si="31"/>
        <v/>
      </c>
      <c r="X193" s="3" t="str">
        <f t="shared" ca="1" si="32"/>
        <v/>
      </c>
      <c r="Y193" s="2"/>
    </row>
    <row r="194" spans="1:25">
      <c r="A194" s="3" t="str">
        <f t="shared" ref="A194:A257" si="33">IF(C194="","",ROW()-1)</f>
        <v/>
      </c>
      <c r="B194" s="3" t="str">
        <f t="shared" ref="B194:B257" si="34">IF(AND(J194&lt;&gt;"",K194&lt;&gt;""),"Closed",IF(AND(C194&lt;&gt;"",E194&lt;&gt;"",F194&lt;&gt;""),"Open",""))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3" t="str">
        <f>IF(B194&lt;&gt;"Closed","",IF(K194&gt;=M194,"Target",IF(K194&lt;=N194,"Stop",IF(R194&gt;=Settings!$B$4,"Time","Manual"))))</f>
        <v/>
      </c>
      <c r="M194" s="3" t="str">
        <f>IF(F194="","",F194*(1+Settings!$B$2))</f>
        <v/>
      </c>
      <c r="N194" s="3" t="str">
        <f>IF(F194="","",F194*(1-Settings!$B$3))</f>
        <v/>
      </c>
      <c r="O194" s="3" t="str">
        <f>IF(E194="","",E194+Settings!$B$4)</f>
        <v/>
      </c>
      <c r="P194" s="3" t="str">
        <f t="shared" ref="P194:P257" si="35">IF(B194="","",IF(B194="Closed",K194,IF(H194="","",H194)))</f>
        <v/>
      </c>
      <c r="Q194" s="3" t="str">
        <f t="shared" ref="Q194:Q257" si="36">IF(OR(B194="",F194="",P194=""),"",P194/F194-1)</f>
        <v/>
      </c>
      <c r="R194" s="3" t="str">
        <f t="shared" ref="R194:R257" ca="1" si="37">IF(E194="","",IF(B194="Closed",J194-E194,TODAY()-E194))</f>
        <v/>
      </c>
      <c r="S194" s="3" t="str">
        <f t="shared" ref="S194:S257" ca="1" si="38">IF(I194="","",TODAY()-I194)</f>
        <v/>
      </c>
      <c r="T194" s="3" t="str">
        <f t="shared" ref="T194:T257" si="39">IF(OR(F194="",G194=""),"",F194*G194)</f>
        <v/>
      </c>
      <c r="U194" s="3" t="str">
        <f t="shared" ref="U194:U257" si="40">IF(OR(B194="",P194="",G194=""),"",P194*G194)</f>
        <v/>
      </c>
      <c r="V194" s="3" t="str">
        <f t="shared" ref="V194:V257" si="41">IF(OR(B194="",P194="",F194="",G194=""),"",(P194-F194)*G194)</f>
        <v/>
      </c>
      <c r="W194" s="3" t="str">
        <f t="shared" ref="W194:W257" ca="1" si="42">IF(B194="Closed","CLOSED",IF(B194&lt;&gt;"Open","",IF(H194="","ENTER CURRENT PRICE",IF(H194&gt;=M194,"SELL - TARGET",IF(H194&lt;=N194,"SELL - STOP",IF(TODAY()&gt;=O194,"SELL - TIME","HOLD"))))))</f>
        <v/>
      </c>
      <c r="X194" s="3" t="str">
        <f t="shared" ref="X194:X257" ca="1" si="43">IF(W194="","",IF(W194="HOLD","Monitor",IF(W194="ENTER CURRENT PRICE","Update price",IF(W194="CLOSED","No action","Review / sell"))))</f>
        <v/>
      </c>
      <c r="Y194" s="2"/>
    </row>
    <row r="195" spans="1:25">
      <c r="A195" s="3" t="str">
        <f t="shared" si="33"/>
        <v/>
      </c>
      <c r="B195" s="3" t="str">
        <f t="shared" si="34"/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3" t="str">
        <f>IF(B195&lt;&gt;"Closed","",IF(K195&gt;=M195,"Target",IF(K195&lt;=N195,"Stop",IF(R195&gt;=Settings!$B$4,"Time","Manual"))))</f>
        <v/>
      </c>
      <c r="M195" s="3" t="str">
        <f>IF(F195="","",F195*(1+Settings!$B$2))</f>
        <v/>
      </c>
      <c r="N195" s="3" t="str">
        <f>IF(F195="","",F195*(1-Settings!$B$3))</f>
        <v/>
      </c>
      <c r="O195" s="3" t="str">
        <f>IF(E195="","",E195+Settings!$B$4)</f>
        <v/>
      </c>
      <c r="P195" s="3" t="str">
        <f t="shared" si="35"/>
        <v/>
      </c>
      <c r="Q195" s="3" t="str">
        <f t="shared" si="36"/>
        <v/>
      </c>
      <c r="R195" s="3" t="str">
        <f t="shared" ca="1" si="37"/>
        <v/>
      </c>
      <c r="S195" s="3" t="str">
        <f t="shared" ca="1" si="38"/>
        <v/>
      </c>
      <c r="T195" s="3" t="str">
        <f t="shared" si="39"/>
        <v/>
      </c>
      <c r="U195" s="3" t="str">
        <f t="shared" si="40"/>
        <v/>
      </c>
      <c r="V195" s="3" t="str">
        <f t="shared" si="41"/>
        <v/>
      </c>
      <c r="W195" s="3" t="str">
        <f t="shared" ca="1" si="42"/>
        <v/>
      </c>
      <c r="X195" s="3" t="str">
        <f t="shared" ca="1" si="43"/>
        <v/>
      </c>
      <c r="Y195" s="2"/>
    </row>
    <row r="196" spans="1:25">
      <c r="A196" s="3" t="str">
        <f t="shared" si="33"/>
        <v/>
      </c>
      <c r="B196" s="3" t="str">
        <f t="shared" si="34"/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3" t="str">
        <f>IF(B196&lt;&gt;"Closed","",IF(K196&gt;=M196,"Target",IF(K196&lt;=N196,"Stop",IF(R196&gt;=Settings!$B$4,"Time","Manual"))))</f>
        <v/>
      </c>
      <c r="M196" s="3" t="str">
        <f>IF(F196="","",F196*(1+Settings!$B$2))</f>
        <v/>
      </c>
      <c r="N196" s="3" t="str">
        <f>IF(F196="","",F196*(1-Settings!$B$3))</f>
        <v/>
      </c>
      <c r="O196" s="3" t="str">
        <f>IF(E196="","",E196+Settings!$B$4)</f>
        <v/>
      </c>
      <c r="P196" s="3" t="str">
        <f t="shared" si="35"/>
        <v/>
      </c>
      <c r="Q196" s="3" t="str">
        <f t="shared" si="36"/>
        <v/>
      </c>
      <c r="R196" s="3" t="str">
        <f t="shared" ca="1" si="37"/>
        <v/>
      </c>
      <c r="S196" s="3" t="str">
        <f t="shared" ca="1" si="38"/>
        <v/>
      </c>
      <c r="T196" s="3" t="str">
        <f t="shared" si="39"/>
        <v/>
      </c>
      <c r="U196" s="3" t="str">
        <f t="shared" si="40"/>
        <v/>
      </c>
      <c r="V196" s="3" t="str">
        <f t="shared" si="41"/>
        <v/>
      </c>
      <c r="W196" s="3" t="str">
        <f t="shared" ca="1" si="42"/>
        <v/>
      </c>
      <c r="X196" s="3" t="str">
        <f t="shared" ca="1" si="43"/>
        <v/>
      </c>
      <c r="Y196" s="2"/>
    </row>
    <row r="197" spans="1:25">
      <c r="A197" s="3" t="str">
        <f t="shared" si="33"/>
        <v/>
      </c>
      <c r="B197" s="3" t="str">
        <f t="shared" si="34"/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3" t="str">
        <f>IF(B197&lt;&gt;"Closed","",IF(K197&gt;=M197,"Target",IF(K197&lt;=N197,"Stop",IF(R197&gt;=Settings!$B$4,"Time","Manual"))))</f>
        <v/>
      </c>
      <c r="M197" s="3" t="str">
        <f>IF(F197="","",F197*(1+Settings!$B$2))</f>
        <v/>
      </c>
      <c r="N197" s="3" t="str">
        <f>IF(F197="","",F197*(1-Settings!$B$3))</f>
        <v/>
      </c>
      <c r="O197" s="3" t="str">
        <f>IF(E197="","",E197+Settings!$B$4)</f>
        <v/>
      </c>
      <c r="P197" s="3" t="str">
        <f t="shared" si="35"/>
        <v/>
      </c>
      <c r="Q197" s="3" t="str">
        <f t="shared" si="36"/>
        <v/>
      </c>
      <c r="R197" s="3" t="str">
        <f t="shared" ca="1" si="37"/>
        <v/>
      </c>
      <c r="S197" s="3" t="str">
        <f t="shared" ca="1" si="38"/>
        <v/>
      </c>
      <c r="T197" s="3" t="str">
        <f t="shared" si="39"/>
        <v/>
      </c>
      <c r="U197" s="3" t="str">
        <f t="shared" si="40"/>
        <v/>
      </c>
      <c r="V197" s="3" t="str">
        <f t="shared" si="41"/>
        <v/>
      </c>
      <c r="W197" s="3" t="str">
        <f t="shared" ca="1" si="42"/>
        <v/>
      </c>
      <c r="X197" s="3" t="str">
        <f t="shared" ca="1" si="43"/>
        <v/>
      </c>
      <c r="Y197" s="2"/>
    </row>
    <row r="198" spans="1:25">
      <c r="A198" s="3" t="str">
        <f t="shared" si="33"/>
        <v/>
      </c>
      <c r="B198" s="3" t="str">
        <f t="shared" si="34"/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3" t="str">
        <f>IF(B198&lt;&gt;"Closed","",IF(K198&gt;=M198,"Target",IF(K198&lt;=N198,"Stop",IF(R198&gt;=Settings!$B$4,"Time","Manual"))))</f>
        <v/>
      </c>
      <c r="M198" s="3" t="str">
        <f>IF(F198="","",F198*(1+Settings!$B$2))</f>
        <v/>
      </c>
      <c r="N198" s="3" t="str">
        <f>IF(F198="","",F198*(1-Settings!$B$3))</f>
        <v/>
      </c>
      <c r="O198" s="3" t="str">
        <f>IF(E198="","",E198+Settings!$B$4)</f>
        <v/>
      </c>
      <c r="P198" s="3" t="str">
        <f t="shared" si="35"/>
        <v/>
      </c>
      <c r="Q198" s="3" t="str">
        <f t="shared" si="36"/>
        <v/>
      </c>
      <c r="R198" s="3" t="str">
        <f t="shared" ca="1" si="37"/>
        <v/>
      </c>
      <c r="S198" s="3" t="str">
        <f t="shared" ca="1" si="38"/>
        <v/>
      </c>
      <c r="T198" s="3" t="str">
        <f t="shared" si="39"/>
        <v/>
      </c>
      <c r="U198" s="3" t="str">
        <f t="shared" si="40"/>
        <v/>
      </c>
      <c r="V198" s="3" t="str">
        <f t="shared" si="41"/>
        <v/>
      </c>
      <c r="W198" s="3" t="str">
        <f t="shared" ca="1" si="42"/>
        <v/>
      </c>
      <c r="X198" s="3" t="str">
        <f t="shared" ca="1" si="43"/>
        <v/>
      </c>
      <c r="Y198" s="2"/>
    </row>
    <row r="199" spans="1:25">
      <c r="A199" s="3" t="str">
        <f t="shared" si="33"/>
        <v/>
      </c>
      <c r="B199" s="3" t="str">
        <f t="shared" si="34"/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3" t="str">
        <f>IF(B199&lt;&gt;"Closed","",IF(K199&gt;=M199,"Target",IF(K199&lt;=N199,"Stop",IF(R199&gt;=Settings!$B$4,"Time","Manual"))))</f>
        <v/>
      </c>
      <c r="M199" s="3" t="str">
        <f>IF(F199="","",F199*(1+Settings!$B$2))</f>
        <v/>
      </c>
      <c r="N199" s="3" t="str">
        <f>IF(F199="","",F199*(1-Settings!$B$3))</f>
        <v/>
      </c>
      <c r="O199" s="3" t="str">
        <f>IF(E199="","",E199+Settings!$B$4)</f>
        <v/>
      </c>
      <c r="P199" s="3" t="str">
        <f t="shared" si="35"/>
        <v/>
      </c>
      <c r="Q199" s="3" t="str">
        <f t="shared" si="36"/>
        <v/>
      </c>
      <c r="R199" s="3" t="str">
        <f t="shared" ca="1" si="37"/>
        <v/>
      </c>
      <c r="S199" s="3" t="str">
        <f t="shared" ca="1" si="38"/>
        <v/>
      </c>
      <c r="T199" s="3" t="str">
        <f t="shared" si="39"/>
        <v/>
      </c>
      <c r="U199" s="3" t="str">
        <f t="shared" si="40"/>
        <v/>
      </c>
      <c r="V199" s="3" t="str">
        <f t="shared" si="41"/>
        <v/>
      </c>
      <c r="W199" s="3" t="str">
        <f t="shared" ca="1" si="42"/>
        <v/>
      </c>
      <c r="X199" s="3" t="str">
        <f t="shared" ca="1" si="43"/>
        <v/>
      </c>
      <c r="Y199" s="2"/>
    </row>
    <row r="200" spans="1:25">
      <c r="A200" s="3" t="str">
        <f t="shared" si="33"/>
        <v/>
      </c>
      <c r="B200" s="3" t="str">
        <f t="shared" si="34"/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3" t="str">
        <f>IF(B200&lt;&gt;"Closed","",IF(K200&gt;=M200,"Target",IF(K200&lt;=N200,"Stop",IF(R200&gt;=Settings!$B$4,"Time","Manual"))))</f>
        <v/>
      </c>
      <c r="M200" s="3" t="str">
        <f>IF(F200="","",F200*(1+Settings!$B$2))</f>
        <v/>
      </c>
      <c r="N200" s="3" t="str">
        <f>IF(F200="","",F200*(1-Settings!$B$3))</f>
        <v/>
      </c>
      <c r="O200" s="3" t="str">
        <f>IF(E200="","",E200+Settings!$B$4)</f>
        <v/>
      </c>
      <c r="P200" s="3" t="str">
        <f t="shared" si="35"/>
        <v/>
      </c>
      <c r="Q200" s="3" t="str">
        <f t="shared" si="36"/>
        <v/>
      </c>
      <c r="R200" s="3" t="str">
        <f t="shared" ca="1" si="37"/>
        <v/>
      </c>
      <c r="S200" s="3" t="str">
        <f t="shared" ca="1" si="38"/>
        <v/>
      </c>
      <c r="T200" s="3" t="str">
        <f t="shared" si="39"/>
        <v/>
      </c>
      <c r="U200" s="3" t="str">
        <f t="shared" si="40"/>
        <v/>
      </c>
      <c r="V200" s="3" t="str">
        <f t="shared" si="41"/>
        <v/>
      </c>
      <c r="W200" s="3" t="str">
        <f t="shared" ca="1" si="42"/>
        <v/>
      </c>
      <c r="X200" s="3" t="str">
        <f t="shared" ca="1" si="43"/>
        <v/>
      </c>
      <c r="Y200" s="2"/>
    </row>
    <row r="201" spans="1:25">
      <c r="A201" s="3" t="str">
        <f t="shared" si="33"/>
        <v/>
      </c>
      <c r="B201" s="3" t="str">
        <f t="shared" si="34"/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3" t="str">
        <f>IF(B201&lt;&gt;"Closed","",IF(K201&gt;=M201,"Target",IF(K201&lt;=N201,"Stop",IF(R201&gt;=Settings!$B$4,"Time","Manual"))))</f>
        <v/>
      </c>
      <c r="M201" s="3" t="str">
        <f>IF(F201="","",F201*(1+Settings!$B$2))</f>
        <v/>
      </c>
      <c r="N201" s="3" t="str">
        <f>IF(F201="","",F201*(1-Settings!$B$3))</f>
        <v/>
      </c>
      <c r="O201" s="3" t="str">
        <f>IF(E201="","",E201+Settings!$B$4)</f>
        <v/>
      </c>
      <c r="P201" s="3" t="str">
        <f t="shared" si="35"/>
        <v/>
      </c>
      <c r="Q201" s="3" t="str">
        <f t="shared" si="36"/>
        <v/>
      </c>
      <c r="R201" s="3" t="str">
        <f t="shared" ca="1" si="37"/>
        <v/>
      </c>
      <c r="S201" s="3" t="str">
        <f t="shared" ca="1" si="38"/>
        <v/>
      </c>
      <c r="T201" s="3" t="str">
        <f t="shared" si="39"/>
        <v/>
      </c>
      <c r="U201" s="3" t="str">
        <f t="shared" si="40"/>
        <v/>
      </c>
      <c r="V201" s="3" t="str">
        <f t="shared" si="41"/>
        <v/>
      </c>
      <c r="W201" s="3" t="str">
        <f t="shared" ca="1" si="42"/>
        <v/>
      </c>
      <c r="X201" s="3" t="str">
        <f t="shared" ca="1" si="43"/>
        <v/>
      </c>
      <c r="Y201" s="2"/>
    </row>
    <row r="202" spans="1:25">
      <c r="A202" s="3" t="str">
        <f t="shared" si="33"/>
        <v/>
      </c>
      <c r="B202" s="3" t="str">
        <f t="shared" si="34"/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3" t="str">
        <f>IF(B202&lt;&gt;"Closed","",IF(K202&gt;=M202,"Target",IF(K202&lt;=N202,"Stop",IF(R202&gt;=Settings!$B$4,"Time","Manual"))))</f>
        <v/>
      </c>
      <c r="M202" s="3" t="str">
        <f>IF(F202="","",F202*(1+Settings!$B$2))</f>
        <v/>
      </c>
      <c r="N202" s="3" t="str">
        <f>IF(F202="","",F202*(1-Settings!$B$3))</f>
        <v/>
      </c>
      <c r="O202" s="3" t="str">
        <f>IF(E202="","",E202+Settings!$B$4)</f>
        <v/>
      </c>
      <c r="P202" s="3" t="str">
        <f t="shared" si="35"/>
        <v/>
      </c>
      <c r="Q202" s="3" t="str">
        <f t="shared" si="36"/>
        <v/>
      </c>
      <c r="R202" s="3" t="str">
        <f t="shared" ca="1" si="37"/>
        <v/>
      </c>
      <c r="S202" s="3" t="str">
        <f t="shared" ca="1" si="38"/>
        <v/>
      </c>
      <c r="T202" s="3" t="str">
        <f t="shared" si="39"/>
        <v/>
      </c>
      <c r="U202" s="3" t="str">
        <f t="shared" si="40"/>
        <v/>
      </c>
      <c r="V202" s="3" t="str">
        <f t="shared" si="41"/>
        <v/>
      </c>
      <c r="W202" s="3" t="str">
        <f t="shared" ca="1" si="42"/>
        <v/>
      </c>
      <c r="X202" s="3" t="str">
        <f t="shared" ca="1" si="43"/>
        <v/>
      </c>
      <c r="Y202" s="2"/>
    </row>
    <row r="203" spans="1:25">
      <c r="A203" s="3" t="str">
        <f t="shared" si="33"/>
        <v/>
      </c>
      <c r="B203" s="3" t="str">
        <f t="shared" si="34"/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3" t="str">
        <f>IF(B203&lt;&gt;"Closed","",IF(K203&gt;=M203,"Target",IF(K203&lt;=N203,"Stop",IF(R203&gt;=Settings!$B$4,"Time","Manual"))))</f>
        <v/>
      </c>
      <c r="M203" s="3" t="str">
        <f>IF(F203="","",F203*(1+Settings!$B$2))</f>
        <v/>
      </c>
      <c r="N203" s="3" t="str">
        <f>IF(F203="","",F203*(1-Settings!$B$3))</f>
        <v/>
      </c>
      <c r="O203" s="3" t="str">
        <f>IF(E203="","",E203+Settings!$B$4)</f>
        <v/>
      </c>
      <c r="P203" s="3" t="str">
        <f t="shared" si="35"/>
        <v/>
      </c>
      <c r="Q203" s="3" t="str">
        <f t="shared" si="36"/>
        <v/>
      </c>
      <c r="R203" s="3" t="str">
        <f t="shared" ca="1" si="37"/>
        <v/>
      </c>
      <c r="S203" s="3" t="str">
        <f t="shared" ca="1" si="38"/>
        <v/>
      </c>
      <c r="T203" s="3" t="str">
        <f t="shared" si="39"/>
        <v/>
      </c>
      <c r="U203" s="3" t="str">
        <f t="shared" si="40"/>
        <v/>
      </c>
      <c r="V203" s="3" t="str">
        <f t="shared" si="41"/>
        <v/>
      </c>
      <c r="W203" s="3" t="str">
        <f t="shared" ca="1" si="42"/>
        <v/>
      </c>
      <c r="X203" s="3" t="str">
        <f t="shared" ca="1" si="43"/>
        <v/>
      </c>
      <c r="Y203" s="2"/>
    </row>
    <row r="204" spans="1:25">
      <c r="A204" s="3" t="str">
        <f t="shared" si="33"/>
        <v/>
      </c>
      <c r="B204" s="3" t="str">
        <f t="shared" si="34"/>
        <v/>
      </c>
      <c r="C204" s="2"/>
      <c r="D204" s="2"/>
      <c r="E204" s="2"/>
      <c r="F204" s="2"/>
      <c r="G204" s="2"/>
      <c r="H204" s="2"/>
      <c r="I204" s="2"/>
      <c r="J204" s="2"/>
      <c r="K204" s="2"/>
      <c r="L204" s="3" t="str">
        <f>IF(B204&lt;&gt;"Closed","",IF(K204&gt;=M204,"Target",IF(K204&lt;=N204,"Stop",IF(R204&gt;=Settings!$B$4,"Time","Manual"))))</f>
        <v/>
      </c>
      <c r="M204" s="3" t="str">
        <f>IF(F204="","",F204*(1+Settings!$B$2))</f>
        <v/>
      </c>
      <c r="N204" s="3" t="str">
        <f>IF(F204="","",F204*(1-Settings!$B$3))</f>
        <v/>
      </c>
      <c r="O204" s="3" t="str">
        <f>IF(E204="","",E204+Settings!$B$4)</f>
        <v/>
      </c>
      <c r="P204" s="3" t="str">
        <f t="shared" si="35"/>
        <v/>
      </c>
      <c r="Q204" s="3" t="str">
        <f t="shared" si="36"/>
        <v/>
      </c>
      <c r="R204" s="3" t="str">
        <f t="shared" ca="1" si="37"/>
        <v/>
      </c>
      <c r="S204" s="3" t="str">
        <f t="shared" ca="1" si="38"/>
        <v/>
      </c>
      <c r="T204" s="3" t="str">
        <f t="shared" si="39"/>
        <v/>
      </c>
      <c r="U204" s="3" t="str">
        <f t="shared" si="40"/>
        <v/>
      </c>
      <c r="V204" s="3" t="str">
        <f t="shared" si="41"/>
        <v/>
      </c>
      <c r="W204" s="3" t="str">
        <f t="shared" ca="1" si="42"/>
        <v/>
      </c>
      <c r="X204" s="3" t="str">
        <f t="shared" ca="1" si="43"/>
        <v/>
      </c>
      <c r="Y204" s="2"/>
    </row>
    <row r="205" spans="1:25">
      <c r="A205" s="3" t="str">
        <f t="shared" si="33"/>
        <v/>
      </c>
      <c r="B205" s="3" t="str">
        <f t="shared" si="34"/>
        <v/>
      </c>
      <c r="C205" s="2"/>
      <c r="D205" s="2"/>
      <c r="E205" s="2"/>
      <c r="F205" s="2"/>
      <c r="G205" s="2"/>
      <c r="H205" s="2"/>
      <c r="I205" s="2"/>
      <c r="J205" s="2"/>
      <c r="K205" s="2"/>
      <c r="L205" s="3" t="str">
        <f>IF(B205&lt;&gt;"Closed","",IF(K205&gt;=M205,"Target",IF(K205&lt;=N205,"Stop",IF(R205&gt;=Settings!$B$4,"Time","Manual"))))</f>
        <v/>
      </c>
      <c r="M205" s="3" t="str">
        <f>IF(F205="","",F205*(1+Settings!$B$2))</f>
        <v/>
      </c>
      <c r="N205" s="3" t="str">
        <f>IF(F205="","",F205*(1-Settings!$B$3))</f>
        <v/>
      </c>
      <c r="O205" s="3" t="str">
        <f>IF(E205="","",E205+Settings!$B$4)</f>
        <v/>
      </c>
      <c r="P205" s="3" t="str">
        <f t="shared" si="35"/>
        <v/>
      </c>
      <c r="Q205" s="3" t="str">
        <f t="shared" si="36"/>
        <v/>
      </c>
      <c r="R205" s="3" t="str">
        <f t="shared" ca="1" si="37"/>
        <v/>
      </c>
      <c r="S205" s="3" t="str">
        <f t="shared" ca="1" si="38"/>
        <v/>
      </c>
      <c r="T205" s="3" t="str">
        <f t="shared" si="39"/>
        <v/>
      </c>
      <c r="U205" s="3" t="str">
        <f t="shared" si="40"/>
        <v/>
      </c>
      <c r="V205" s="3" t="str">
        <f t="shared" si="41"/>
        <v/>
      </c>
      <c r="W205" s="3" t="str">
        <f t="shared" ca="1" si="42"/>
        <v/>
      </c>
      <c r="X205" s="3" t="str">
        <f t="shared" ca="1" si="43"/>
        <v/>
      </c>
      <c r="Y205" s="2"/>
    </row>
    <row r="206" spans="1:25">
      <c r="A206" s="3" t="str">
        <f t="shared" si="33"/>
        <v/>
      </c>
      <c r="B206" s="3" t="str">
        <f t="shared" si="34"/>
        <v/>
      </c>
      <c r="C206" s="2"/>
      <c r="D206" s="2"/>
      <c r="E206" s="2"/>
      <c r="F206" s="2"/>
      <c r="G206" s="2"/>
      <c r="H206" s="2"/>
      <c r="I206" s="2"/>
      <c r="J206" s="2"/>
      <c r="K206" s="2"/>
      <c r="L206" s="3" t="str">
        <f>IF(B206&lt;&gt;"Closed","",IF(K206&gt;=M206,"Target",IF(K206&lt;=N206,"Stop",IF(R206&gt;=Settings!$B$4,"Time","Manual"))))</f>
        <v/>
      </c>
      <c r="M206" s="3" t="str">
        <f>IF(F206="","",F206*(1+Settings!$B$2))</f>
        <v/>
      </c>
      <c r="N206" s="3" t="str">
        <f>IF(F206="","",F206*(1-Settings!$B$3))</f>
        <v/>
      </c>
      <c r="O206" s="3" t="str">
        <f>IF(E206="","",E206+Settings!$B$4)</f>
        <v/>
      </c>
      <c r="P206" s="3" t="str">
        <f t="shared" si="35"/>
        <v/>
      </c>
      <c r="Q206" s="3" t="str">
        <f t="shared" si="36"/>
        <v/>
      </c>
      <c r="R206" s="3" t="str">
        <f t="shared" ca="1" si="37"/>
        <v/>
      </c>
      <c r="S206" s="3" t="str">
        <f t="shared" ca="1" si="38"/>
        <v/>
      </c>
      <c r="T206" s="3" t="str">
        <f t="shared" si="39"/>
        <v/>
      </c>
      <c r="U206" s="3" t="str">
        <f t="shared" si="40"/>
        <v/>
      </c>
      <c r="V206" s="3" t="str">
        <f t="shared" si="41"/>
        <v/>
      </c>
      <c r="W206" s="3" t="str">
        <f t="shared" ca="1" si="42"/>
        <v/>
      </c>
      <c r="X206" s="3" t="str">
        <f t="shared" ca="1" si="43"/>
        <v/>
      </c>
      <c r="Y206" s="2"/>
    </row>
    <row r="207" spans="1:25">
      <c r="A207" s="3" t="str">
        <f t="shared" si="33"/>
        <v/>
      </c>
      <c r="B207" s="3" t="str">
        <f t="shared" si="34"/>
        <v/>
      </c>
      <c r="C207" s="2"/>
      <c r="D207" s="2"/>
      <c r="E207" s="2"/>
      <c r="F207" s="2"/>
      <c r="G207" s="2"/>
      <c r="H207" s="2"/>
      <c r="I207" s="2"/>
      <c r="J207" s="2"/>
      <c r="K207" s="2"/>
      <c r="L207" s="3" t="str">
        <f>IF(B207&lt;&gt;"Closed","",IF(K207&gt;=M207,"Target",IF(K207&lt;=N207,"Stop",IF(R207&gt;=Settings!$B$4,"Time","Manual"))))</f>
        <v/>
      </c>
      <c r="M207" s="3" t="str">
        <f>IF(F207="","",F207*(1+Settings!$B$2))</f>
        <v/>
      </c>
      <c r="N207" s="3" t="str">
        <f>IF(F207="","",F207*(1-Settings!$B$3))</f>
        <v/>
      </c>
      <c r="O207" s="3" t="str">
        <f>IF(E207="","",E207+Settings!$B$4)</f>
        <v/>
      </c>
      <c r="P207" s="3" t="str">
        <f t="shared" si="35"/>
        <v/>
      </c>
      <c r="Q207" s="3" t="str">
        <f t="shared" si="36"/>
        <v/>
      </c>
      <c r="R207" s="3" t="str">
        <f t="shared" ca="1" si="37"/>
        <v/>
      </c>
      <c r="S207" s="3" t="str">
        <f t="shared" ca="1" si="38"/>
        <v/>
      </c>
      <c r="T207" s="3" t="str">
        <f t="shared" si="39"/>
        <v/>
      </c>
      <c r="U207" s="3" t="str">
        <f t="shared" si="40"/>
        <v/>
      </c>
      <c r="V207" s="3" t="str">
        <f t="shared" si="41"/>
        <v/>
      </c>
      <c r="W207" s="3" t="str">
        <f t="shared" ca="1" si="42"/>
        <v/>
      </c>
      <c r="X207" s="3" t="str">
        <f t="shared" ca="1" si="43"/>
        <v/>
      </c>
      <c r="Y207" s="2"/>
    </row>
    <row r="208" spans="1:25">
      <c r="A208" s="3" t="str">
        <f t="shared" si="33"/>
        <v/>
      </c>
      <c r="B208" s="3" t="str">
        <f t="shared" si="34"/>
        <v/>
      </c>
      <c r="C208" s="2"/>
      <c r="D208" s="2"/>
      <c r="E208" s="2"/>
      <c r="F208" s="2"/>
      <c r="G208" s="2"/>
      <c r="H208" s="2"/>
      <c r="I208" s="2"/>
      <c r="J208" s="2"/>
      <c r="K208" s="2"/>
      <c r="L208" s="3" t="str">
        <f>IF(B208&lt;&gt;"Closed","",IF(K208&gt;=M208,"Target",IF(K208&lt;=N208,"Stop",IF(R208&gt;=Settings!$B$4,"Time","Manual"))))</f>
        <v/>
      </c>
      <c r="M208" s="3" t="str">
        <f>IF(F208="","",F208*(1+Settings!$B$2))</f>
        <v/>
      </c>
      <c r="N208" s="3" t="str">
        <f>IF(F208="","",F208*(1-Settings!$B$3))</f>
        <v/>
      </c>
      <c r="O208" s="3" t="str">
        <f>IF(E208="","",E208+Settings!$B$4)</f>
        <v/>
      </c>
      <c r="P208" s="3" t="str">
        <f t="shared" si="35"/>
        <v/>
      </c>
      <c r="Q208" s="3" t="str">
        <f t="shared" si="36"/>
        <v/>
      </c>
      <c r="R208" s="3" t="str">
        <f t="shared" ca="1" si="37"/>
        <v/>
      </c>
      <c r="S208" s="3" t="str">
        <f t="shared" ca="1" si="38"/>
        <v/>
      </c>
      <c r="T208" s="3" t="str">
        <f t="shared" si="39"/>
        <v/>
      </c>
      <c r="U208" s="3" t="str">
        <f t="shared" si="40"/>
        <v/>
      </c>
      <c r="V208" s="3" t="str">
        <f t="shared" si="41"/>
        <v/>
      </c>
      <c r="W208" s="3" t="str">
        <f t="shared" ca="1" si="42"/>
        <v/>
      </c>
      <c r="X208" s="3" t="str">
        <f t="shared" ca="1" si="43"/>
        <v/>
      </c>
      <c r="Y208" s="2"/>
    </row>
    <row r="209" spans="1:25">
      <c r="A209" s="3" t="str">
        <f t="shared" si="33"/>
        <v/>
      </c>
      <c r="B209" s="3" t="str">
        <f t="shared" si="34"/>
        <v/>
      </c>
      <c r="C209" s="2"/>
      <c r="D209" s="2"/>
      <c r="E209" s="2"/>
      <c r="F209" s="2"/>
      <c r="G209" s="2"/>
      <c r="H209" s="2"/>
      <c r="I209" s="2"/>
      <c r="J209" s="2"/>
      <c r="K209" s="2"/>
      <c r="L209" s="3" t="str">
        <f>IF(B209&lt;&gt;"Closed","",IF(K209&gt;=M209,"Target",IF(K209&lt;=N209,"Stop",IF(R209&gt;=Settings!$B$4,"Time","Manual"))))</f>
        <v/>
      </c>
      <c r="M209" s="3" t="str">
        <f>IF(F209="","",F209*(1+Settings!$B$2))</f>
        <v/>
      </c>
      <c r="N209" s="3" t="str">
        <f>IF(F209="","",F209*(1-Settings!$B$3))</f>
        <v/>
      </c>
      <c r="O209" s="3" t="str">
        <f>IF(E209="","",E209+Settings!$B$4)</f>
        <v/>
      </c>
      <c r="P209" s="3" t="str">
        <f t="shared" si="35"/>
        <v/>
      </c>
      <c r="Q209" s="3" t="str">
        <f t="shared" si="36"/>
        <v/>
      </c>
      <c r="R209" s="3" t="str">
        <f t="shared" ca="1" si="37"/>
        <v/>
      </c>
      <c r="S209" s="3" t="str">
        <f t="shared" ca="1" si="38"/>
        <v/>
      </c>
      <c r="T209" s="3" t="str">
        <f t="shared" si="39"/>
        <v/>
      </c>
      <c r="U209" s="3" t="str">
        <f t="shared" si="40"/>
        <v/>
      </c>
      <c r="V209" s="3" t="str">
        <f t="shared" si="41"/>
        <v/>
      </c>
      <c r="W209" s="3" t="str">
        <f t="shared" ca="1" si="42"/>
        <v/>
      </c>
      <c r="X209" s="3" t="str">
        <f t="shared" ca="1" si="43"/>
        <v/>
      </c>
      <c r="Y209" s="2"/>
    </row>
    <row r="210" spans="1:25">
      <c r="A210" s="3" t="str">
        <f t="shared" si="33"/>
        <v/>
      </c>
      <c r="B210" s="3" t="str">
        <f t="shared" si="34"/>
        <v/>
      </c>
      <c r="C210" s="2"/>
      <c r="D210" s="2"/>
      <c r="E210" s="2"/>
      <c r="F210" s="2"/>
      <c r="G210" s="2"/>
      <c r="H210" s="2"/>
      <c r="I210" s="2"/>
      <c r="J210" s="2"/>
      <c r="K210" s="2"/>
      <c r="L210" s="3" t="str">
        <f>IF(B210&lt;&gt;"Closed","",IF(K210&gt;=M210,"Target",IF(K210&lt;=N210,"Stop",IF(R210&gt;=Settings!$B$4,"Time","Manual"))))</f>
        <v/>
      </c>
      <c r="M210" s="3" t="str">
        <f>IF(F210="","",F210*(1+Settings!$B$2))</f>
        <v/>
      </c>
      <c r="N210" s="3" t="str">
        <f>IF(F210="","",F210*(1-Settings!$B$3))</f>
        <v/>
      </c>
      <c r="O210" s="3" t="str">
        <f>IF(E210="","",E210+Settings!$B$4)</f>
        <v/>
      </c>
      <c r="P210" s="3" t="str">
        <f t="shared" si="35"/>
        <v/>
      </c>
      <c r="Q210" s="3" t="str">
        <f t="shared" si="36"/>
        <v/>
      </c>
      <c r="R210" s="3" t="str">
        <f t="shared" ca="1" si="37"/>
        <v/>
      </c>
      <c r="S210" s="3" t="str">
        <f t="shared" ca="1" si="38"/>
        <v/>
      </c>
      <c r="T210" s="3" t="str">
        <f t="shared" si="39"/>
        <v/>
      </c>
      <c r="U210" s="3" t="str">
        <f t="shared" si="40"/>
        <v/>
      </c>
      <c r="V210" s="3" t="str">
        <f t="shared" si="41"/>
        <v/>
      </c>
      <c r="W210" s="3" t="str">
        <f t="shared" ca="1" si="42"/>
        <v/>
      </c>
      <c r="X210" s="3" t="str">
        <f t="shared" ca="1" si="43"/>
        <v/>
      </c>
      <c r="Y210" s="2"/>
    </row>
    <row r="211" spans="1:25">
      <c r="A211" s="3" t="str">
        <f t="shared" si="33"/>
        <v/>
      </c>
      <c r="B211" s="3" t="str">
        <f t="shared" si="34"/>
        <v/>
      </c>
      <c r="C211" s="2"/>
      <c r="D211" s="2"/>
      <c r="E211" s="2"/>
      <c r="F211" s="2"/>
      <c r="G211" s="2"/>
      <c r="H211" s="2"/>
      <c r="I211" s="2"/>
      <c r="J211" s="2"/>
      <c r="K211" s="2"/>
      <c r="L211" s="3" t="str">
        <f>IF(B211&lt;&gt;"Closed","",IF(K211&gt;=M211,"Target",IF(K211&lt;=N211,"Stop",IF(R211&gt;=Settings!$B$4,"Time","Manual"))))</f>
        <v/>
      </c>
      <c r="M211" s="3" t="str">
        <f>IF(F211="","",F211*(1+Settings!$B$2))</f>
        <v/>
      </c>
      <c r="N211" s="3" t="str">
        <f>IF(F211="","",F211*(1-Settings!$B$3))</f>
        <v/>
      </c>
      <c r="O211" s="3" t="str">
        <f>IF(E211="","",E211+Settings!$B$4)</f>
        <v/>
      </c>
      <c r="P211" s="3" t="str">
        <f t="shared" si="35"/>
        <v/>
      </c>
      <c r="Q211" s="3" t="str">
        <f t="shared" si="36"/>
        <v/>
      </c>
      <c r="R211" s="3" t="str">
        <f t="shared" ca="1" si="37"/>
        <v/>
      </c>
      <c r="S211" s="3" t="str">
        <f t="shared" ca="1" si="38"/>
        <v/>
      </c>
      <c r="T211" s="3" t="str">
        <f t="shared" si="39"/>
        <v/>
      </c>
      <c r="U211" s="3" t="str">
        <f t="shared" si="40"/>
        <v/>
      </c>
      <c r="V211" s="3" t="str">
        <f t="shared" si="41"/>
        <v/>
      </c>
      <c r="W211" s="3" t="str">
        <f t="shared" ca="1" si="42"/>
        <v/>
      </c>
      <c r="X211" s="3" t="str">
        <f t="shared" ca="1" si="43"/>
        <v/>
      </c>
      <c r="Y211" s="2"/>
    </row>
    <row r="212" spans="1:25">
      <c r="A212" s="3" t="str">
        <f t="shared" si="33"/>
        <v/>
      </c>
      <c r="B212" s="3" t="str">
        <f t="shared" si="34"/>
        <v/>
      </c>
      <c r="C212" s="2"/>
      <c r="D212" s="2"/>
      <c r="E212" s="2"/>
      <c r="F212" s="2"/>
      <c r="G212" s="2"/>
      <c r="H212" s="2"/>
      <c r="I212" s="2"/>
      <c r="J212" s="2"/>
      <c r="K212" s="2"/>
      <c r="L212" s="3" t="str">
        <f>IF(B212&lt;&gt;"Closed","",IF(K212&gt;=M212,"Target",IF(K212&lt;=N212,"Stop",IF(R212&gt;=Settings!$B$4,"Time","Manual"))))</f>
        <v/>
      </c>
      <c r="M212" s="3" t="str">
        <f>IF(F212="","",F212*(1+Settings!$B$2))</f>
        <v/>
      </c>
      <c r="N212" s="3" t="str">
        <f>IF(F212="","",F212*(1-Settings!$B$3))</f>
        <v/>
      </c>
      <c r="O212" s="3" t="str">
        <f>IF(E212="","",E212+Settings!$B$4)</f>
        <v/>
      </c>
      <c r="P212" s="3" t="str">
        <f t="shared" si="35"/>
        <v/>
      </c>
      <c r="Q212" s="3" t="str">
        <f t="shared" si="36"/>
        <v/>
      </c>
      <c r="R212" s="3" t="str">
        <f t="shared" ca="1" si="37"/>
        <v/>
      </c>
      <c r="S212" s="3" t="str">
        <f t="shared" ca="1" si="38"/>
        <v/>
      </c>
      <c r="T212" s="3" t="str">
        <f t="shared" si="39"/>
        <v/>
      </c>
      <c r="U212" s="3" t="str">
        <f t="shared" si="40"/>
        <v/>
      </c>
      <c r="V212" s="3" t="str">
        <f t="shared" si="41"/>
        <v/>
      </c>
      <c r="W212" s="3" t="str">
        <f t="shared" ca="1" si="42"/>
        <v/>
      </c>
      <c r="X212" s="3" t="str">
        <f t="shared" ca="1" si="43"/>
        <v/>
      </c>
      <c r="Y212" s="2"/>
    </row>
    <row r="213" spans="1:25">
      <c r="A213" s="3" t="str">
        <f t="shared" si="33"/>
        <v/>
      </c>
      <c r="B213" s="3" t="str">
        <f t="shared" si="34"/>
        <v/>
      </c>
      <c r="C213" s="2"/>
      <c r="D213" s="2"/>
      <c r="E213" s="2"/>
      <c r="F213" s="2"/>
      <c r="G213" s="2"/>
      <c r="H213" s="2"/>
      <c r="I213" s="2"/>
      <c r="J213" s="2"/>
      <c r="K213" s="2"/>
      <c r="L213" s="3" t="str">
        <f>IF(B213&lt;&gt;"Closed","",IF(K213&gt;=M213,"Target",IF(K213&lt;=N213,"Stop",IF(R213&gt;=Settings!$B$4,"Time","Manual"))))</f>
        <v/>
      </c>
      <c r="M213" s="3" t="str">
        <f>IF(F213="","",F213*(1+Settings!$B$2))</f>
        <v/>
      </c>
      <c r="N213" s="3" t="str">
        <f>IF(F213="","",F213*(1-Settings!$B$3))</f>
        <v/>
      </c>
      <c r="O213" s="3" t="str">
        <f>IF(E213="","",E213+Settings!$B$4)</f>
        <v/>
      </c>
      <c r="P213" s="3" t="str">
        <f t="shared" si="35"/>
        <v/>
      </c>
      <c r="Q213" s="3" t="str">
        <f t="shared" si="36"/>
        <v/>
      </c>
      <c r="R213" s="3" t="str">
        <f t="shared" ca="1" si="37"/>
        <v/>
      </c>
      <c r="S213" s="3" t="str">
        <f t="shared" ca="1" si="38"/>
        <v/>
      </c>
      <c r="T213" s="3" t="str">
        <f t="shared" si="39"/>
        <v/>
      </c>
      <c r="U213" s="3" t="str">
        <f t="shared" si="40"/>
        <v/>
      </c>
      <c r="V213" s="3" t="str">
        <f t="shared" si="41"/>
        <v/>
      </c>
      <c r="W213" s="3" t="str">
        <f t="shared" ca="1" si="42"/>
        <v/>
      </c>
      <c r="X213" s="3" t="str">
        <f t="shared" ca="1" si="43"/>
        <v/>
      </c>
      <c r="Y213" s="2"/>
    </row>
    <row r="214" spans="1:25">
      <c r="A214" s="3" t="str">
        <f t="shared" si="33"/>
        <v/>
      </c>
      <c r="B214" s="3" t="str">
        <f t="shared" si="34"/>
        <v/>
      </c>
      <c r="C214" s="2"/>
      <c r="D214" s="2"/>
      <c r="E214" s="2"/>
      <c r="F214" s="2"/>
      <c r="G214" s="2"/>
      <c r="H214" s="2"/>
      <c r="I214" s="2"/>
      <c r="J214" s="2"/>
      <c r="K214" s="2"/>
      <c r="L214" s="3" t="str">
        <f>IF(B214&lt;&gt;"Closed","",IF(K214&gt;=M214,"Target",IF(K214&lt;=N214,"Stop",IF(R214&gt;=Settings!$B$4,"Time","Manual"))))</f>
        <v/>
      </c>
      <c r="M214" s="3" t="str">
        <f>IF(F214="","",F214*(1+Settings!$B$2))</f>
        <v/>
      </c>
      <c r="N214" s="3" t="str">
        <f>IF(F214="","",F214*(1-Settings!$B$3))</f>
        <v/>
      </c>
      <c r="O214" s="3" t="str">
        <f>IF(E214="","",E214+Settings!$B$4)</f>
        <v/>
      </c>
      <c r="P214" s="3" t="str">
        <f t="shared" si="35"/>
        <v/>
      </c>
      <c r="Q214" s="3" t="str">
        <f t="shared" si="36"/>
        <v/>
      </c>
      <c r="R214" s="3" t="str">
        <f t="shared" ca="1" si="37"/>
        <v/>
      </c>
      <c r="S214" s="3" t="str">
        <f t="shared" ca="1" si="38"/>
        <v/>
      </c>
      <c r="T214" s="3" t="str">
        <f t="shared" si="39"/>
        <v/>
      </c>
      <c r="U214" s="3" t="str">
        <f t="shared" si="40"/>
        <v/>
      </c>
      <c r="V214" s="3" t="str">
        <f t="shared" si="41"/>
        <v/>
      </c>
      <c r="W214" s="3" t="str">
        <f t="shared" ca="1" si="42"/>
        <v/>
      </c>
      <c r="X214" s="3" t="str">
        <f t="shared" ca="1" si="43"/>
        <v/>
      </c>
      <c r="Y214" s="2"/>
    </row>
    <row r="215" spans="1:25">
      <c r="A215" s="3" t="str">
        <f t="shared" si="33"/>
        <v/>
      </c>
      <c r="B215" s="3" t="str">
        <f t="shared" si="34"/>
        <v/>
      </c>
      <c r="C215" s="2"/>
      <c r="D215" s="2"/>
      <c r="E215" s="2"/>
      <c r="F215" s="2"/>
      <c r="G215" s="2"/>
      <c r="H215" s="2"/>
      <c r="I215" s="2"/>
      <c r="J215" s="2"/>
      <c r="K215" s="2"/>
      <c r="L215" s="3" t="str">
        <f>IF(B215&lt;&gt;"Closed","",IF(K215&gt;=M215,"Target",IF(K215&lt;=N215,"Stop",IF(R215&gt;=Settings!$B$4,"Time","Manual"))))</f>
        <v/>
      </c>
      <c r="M215" s="3" t="str">
        <f>IF(F215="","",F215*(1+Settings!$B$2))</f>
        <v/>
      </c>
      <c r="N215" s="3" t="str">
        <f>IF(F215="","",F215*(1-Settings!$B$3))</f>
        <v/>
      </c>
      <c r="O215" s="3" t="str">
        <f>IF(E215="","",E215+Settings!$B$4)</f>
        <v/>
      </c>
      <c r="P215" s="3" t="str">
        <f t="shared" si="35"/>
        <v/>
      </c>
      <c r="Q215" s="3" t="str">
        <f t="shared" si="36"/>
        <v/>
      </c>
      <c r="R215" s="3" t="str">
        <f t="shared" ca="1" si="37"/>
        <v/>
      </c>
      <c r="S215" s="3" t="str">
        <f t="shared" ca="1" si="38"/>
        <v/>
      </c>
      <c r="T215" s="3" t="str">
        <f t="shared" si="39"/>
        <v/>
      </c>
      <c r="U215" s="3" t="str">
        <f t="shared" si="40"/>
        <v/>
      </c>
      <c r="V215" s="3" t="str">
        <f t="shared" si="41"/>
        <v/>
      </c>
      <c r="W215" s="3" t="str">
        <f t="shared" ca="1" si="42"/>
        <v/>
      </c>
      <c r="X215" s="3" t="str">
        <f t="shared" ca="1" si="43"/>
        <v/>
      </c>
      <c r="Y215" s="2"/>
    </row>
    <row r="216" spans="1:25">
      <c r="A216" s="3" t="str">
        <f t="shared" si="33"/>
        <v/>
      </c>
      <c r="B216" s="3" t="str">
        <f t="shared" si="34"/>
        <v/>
      </c>
      <c r="C216" s="2"/>
      <c r="D216" s="2"/>
      <c r="E216" s="2"/>
      <c r="F216" s="2"/>
      <c r="G216" s="2"/>
      <c r="H216" s="2"/>
      <c r="I216" s="2"/>
      <c r="J216" s="2"/>
      <c r="K216" s="2"/>
      <c r="L216" s="3" t="str">
        <f>IF(B216&lt;&gt;"Closed","",IF(K216&gt;=M216,"Target",IF(K216&lt;=N216,"Stop",IF(R216&gt;=Settings!$B$4,"Time","Manual"))))</f>
        <v/>
      </c>
      <c r="M216" s="3" t="str">
        <f>IF(F216="","",F216*(1+Settings!$B$2))</f>
        <v/>
      </c>
      <c r="N216" s="3" t="str">
        <f>IF(F216="","",F216*(1-Settings!$B$3))</f>
        <v/>
      </c>
      <c r="O216" s="3" t="str">
        <f>IF(E216="","",E216+Settings!$B$4)</f>
        <v/>
      </c>
      <c r="P216" s="3" t="str">
        <f t="shared" si="35"/>
        <v/>
      </c>
      <c r="Q216" s="3" t="str">
        <f t="shared" si="36"/>
        <v/>
      </c>
      <c r="R216" s="3" t="str">
        <f t="shared" ca="1" si="37"/>
        <v/>
      </c>
      <c r="S216" s="3" t="str">
        <f t="shared" ca="1" si="38"/>
        <v/>
      </c>
      <c r="T216" s="3" t="str">
        <f t="shared" si="39"/>
        <v/>
      </c>
      <c r="U216" s="3" t="str">
        <f t="shared" si="40"/>
        <v/>
      </c>
      <c r="V216" s="3" t="str">
        <f t="shared" si="41"/>
        <v/>
      </c>
      <c r="W216" s="3" t="str">
        <f t="shared" ca="1" si="42"/>
        <v/>
      </c>
      <c r="X216" s="3" t="str">
        <f t="shared" ca="1" si="43"/>
        <v/>
      </c>
      <c r="Y216" s="2"/>
    </row>
    <row r="217" spans="1:25">
      <c r="A217" s="3" t="str">
        <f t="shared" si="33"/>
        <v/>
      </c>
      <c r="B217" s="3" t="str">
        <f t="shared" si="34"/>
        <v/>
      </c>
      <c r="C217" s="2"/>
      <c r="D217" s="2"/>
      <c r="E217" s="2"/>
      <c r="F217" s="2"/>
      <c r="G217" s="2"/>
      <c r="H217" s="2"/>
      <c r="I217" s="2"/>
      <c r="J217" s="2"/>
      <c r="K217" s="2"/>
      <c r="L217" s="3" t="str">
        <f>IF(B217&lt;&gt;"Closed","",IF(K217&gt;=M217,"Target",IF(K217&lt;=N217,"Stop",IF(R217&gt;=Settings!$B$4,"Time","Manual"))))</f>
        <v/>
      </c>
      <c r="M217" s="3" t="str">
        <f>IF(F217="","",F217*(1+Settings!$B$2))</f>
        <v/>
      </c>
      <c r="N217" s="3" t="str">
        <f>IF(F217="","",F217*(1-Settings!$B$3))</f>
        <v/>
      </c>
      <c r="O217" s="3" t="str">
        <f>IF(E217="","",E217+Settings!$B$4)</f>
        <v/>
      </c>
      <c r="P217" s="3" t="str">
        <f t="shared" si="35"/>
        <v/>
      </c>
      <c r="Q217" s="3" t="str">
        <f t="shared" si="36"/>
        <v/>
      </c>
      <c r="R217" s="3" t="str">
        <f t="shared" ca="1" si="37"/>
        <v/>
      </c>
      <c r="S217" s="3" t="str">
        <f t="shared" ca="1" si="38"/>
        <v/>
      </c>
      <c r="T217" s="3" t="str">
        <f t="shared" si="39"/>
        <v/>
      </c>
      <c r="U217" s="3" t="str">
        <f t="shared" si="40"/>
        <v/>
      </c>
      <c r="V217" s="3" t="str">
        <f t="shared" si="41"/>
        <v/>
      </c>
      <c r="W217" s="3" t="str">
        <f t="shared" ca="1" si="42"/>
        <v/>
      </c>
      <c r="X217" s="3" t="str">
        <f t="shared" ca="1" si="43"/>
        <v/>
      </c>
      <c r="Y217" s="2"/>
    </row>
    <row r="218" spans="1:25">
      <c r="A218" s="3" t="str">
        <f t="shared" si="33"/>
        <v/>
      </c>
      <c r="B218" s="3" t="str">
        <f t="shared" si="34"/>
        <v/>
      </c>
      <c r="C218" s="2"/>
      <c r="D218" s="2"/>
      <c r="E218" s="2"/>
      <c r="F218" s="2"/>
      <c r="G218" s="2"/>
      <c r="H218" s="2"/>
      <c r="I218" s="2"/>
      <c r="J218" s="2"/>
      <c r="K218" s="2"/>
      <c r="L218" s="3" t="str">
        <f>IF(B218&lt;&gt;"Closed","",IF(K218&gt;=M218,"Target",IF(K218&lt;=N218,"Stop",IF(R218&gt;=Settings!$B$4,"Time","Manual"))))</f>
        <v/>
      </c>
      <c r="M218" s="3" t="str">
        <f>IF(F218="","",F218*(1+Settings!$B$2))</f>
        <v/>
      </c>
      <c r="N218" s="3" t="str">
        <f>IF(F218="","",F218*(1-Settings!$B$3))</f>
        <v/>
      </c>
      <c r="O218" s="3" t="str">
        <f>IF(E218="","",E218+Settings!$B$4)</f>
        <v/>
      </c>
      <c r="P218" s="3" t="str">
        <f t="shared" si="35"/>
        <v/>
      </c>
      <c r="Q218" s="3" t="str">
        <f t="shared" si="36"/>
        <v/>
      </c>
      <c r="R218" s="3" t="str">
        <f t="shared" ca="1" si="37"/>
        <v/>
      </c>
      <c r="S218" s="3" t="str">
        <f t="shared" ca="1" si="38"/>
        <v/>
      </c>
      <c r="T218" s="3" t="str">
        <f t="shared" si="39"/>
        <v/>
      </c>
      <c r="U218" s="3" t="str">
        <f t="shared" si="40"/>
        <v/>
      </c>
      <c r="V218" s="3" t="str">
        <f t="shared" si="41"/>
        <v/>
      </c>
      <c r="W218" s="3" t="str">
        <f t="shared" ca="1" si="42"/>
        <v/>
      </c>
      <c r="X218" s="3" t="str">
        <f t="shared" ca="1" si="43"/>
        <v/>
      </c>
      <c r="Y218" s="2"/>
    </row>
    <row r="219" spans="1:25">
      <c r="A219" s="3" t="str">
        <f t="shared" si="33"/>
        <v/>
      </c>
      <c r="B219" s="3" t="str">
        <f t="shared" si="34"/>
        <v/>
      </c>
      <c r="C219" s="2"/>
      <c r="D219" s="2"/>
      <c r="E219" s="2"/>
      <c r="F219" s="2"/>
      <c r="G219" s="2"/>
      <c r="H219" s="2"/>
      <c r="I219" s="2"/>
      <c r="J219" s="2"/>
      <c r="K219" s="2"/>
      <c r="L219" s="3" t="str">
        <f>IF(B219&lt;&gt;"Closed","",IF(K219&gt;=M219,"Target",IF(K219&lt;=N219,"Stop",IF(R219&gt;=Settings!$B$4,"Time","Manual"))))</f>
        <v/>
      </c>
      <c r="M219" s="3" t="str">
        <f>IF(F219="","",F219*(1+Settings!$B$2))</f>
        <v/>
      </c>
      <c r="N219" s="3" t="str">
        <f>IF(F219="","",F219*(1-Settings!$B$3))</f>
        <v/>
      </c>
      <c r="O219" s="3" t="str">
        <f>IF(E219="","",E219+Settings!$B$4)</f>
        <v/>
      </c>
      <c r="P219" s="3" t="str">
        <f t="shared" si="35"/>
        <v/>
      </c>
      <c r="Q219" s="3" t="str">
        <f t="shared" si="36"/>
        <v/>
      </c>
      <c r="R219" s="3" t="str">
        <f t="shared" ca="1" si="37"/>
        <v/>
      </c>
      <c r="S219" s="3" t="str">
        <f t="shared" ca="1" si="38"/>
        <v/>
      </c>
      <c r="T219" s="3" t="str">
        <f t="shared" si="39"/>
        <v/>
      </c>
      <c r="U219" s="3" t="str">
        <f t="shared" si="40"/>
        <v/>
      </c>
      <c r="V219" s="3" t="str">
        <f t="shared" si="41"/>
        <v/>
      </c>
      <c r="W219" s="3" t="str">
        <f t="shared" ca="1" si="42"/>
        <v/>
      </c>
      <c r="X219" s="3" t="str">
        <f t="shared" ca="1" si="43"/>
        <v/>
      </c>
      <c r="Y219" s="2"/>
    </row>
    <row r="220" spans="1:25">
      <c r="A220" s="3" t="str">
        <f t="shared" si="33"/>
        <v/>
      </c>
      <c r="B220" s="3" t="str">
        <f t="shared" si="34"/>
        <v/>
      </c>
      <c r="C220" s="2"/>
      <c r="D220" s="2"/>
      <c r="E220" s="2"/>
      <c r="F220" s="2"/>
      <c r="G220" s="2"/>
      <c r="H220" s="2"/>
      <c r="I220" s="2"/>
      <c r="J220" s="2"/>
      <c r="K220" s="2"/>
      <c r="L220" s="3" t="str">
        <f>IF(B220&lt;&gt;"Closed","",IF(K220&gt;=M220,"Target",IF(K220&lt;=N220,"Stop",IF(R220&gt;=Settings!$B$4,"Time","Manual"))))</f>
        <v/>
      </c>
      <c r="M220" s="3" t="str">
        <f>IF(F220="","",F220*(1+Settings!$B$2))</f>
        <v/>
      </c>
      <c r="N220" s="3" t="str">
        <f>IF(F220="","",F220*(1-Settings!$B$3))</f>
        <v/>
      </c>
      <c r="O220" s="3" t="str">
        <f>IF(E220="","",E220+Settings!$B$4)</f>
        <v/>
      </c>
      <c r="P220" s="3" t="str">
        <f t="shared" si="35"/>
        <v/>
      </c>
      <c r="Q220" s="3" t="str">
        <f t="shared" si="36"/>
        <v/>
      </c>
      <c r="R220" s="3" t="str">
        <f t="shared" ca="1" si="37"/>
        <v/>
      </c>
      <c r="S220" s="3" t="str">
        <f t="shared" ca="1" si="38"/>
        <v/>
      </c>
      <c r="T220" s="3" t="str">
        <f t="shared" si="39"/>
        <v/>
      </c>
      <c r="U220" s="3" t="str">
        <f t="shared" si="40"/>
        <v/>
      </c>
      <c r="V220" s="3" t="str">
        <f t="shared" si="41"/>
        <v/>
      </c>
      <c r="W220" s="3" t="str">
        <f t="shared" ca="1" si="42"/>
        <v/>
      </c>
      <c r="X220" s="3" t="str">
        <f t="shared" ca="1" si="43"/>
        <v/>
      </c>
      <c r="Y220" s="2"/>
    </row>
    <row r="221" spans="1:25">
      <c r="A221" s="3" t="str">
        <f t="shared" si="33"/>
        <v/>
      </c>
      <c r="B221" s="3" t="str">
        <f t="shared" si="34"/>
        <v/>
      </c>
      <c r="C221" s="2"/>
      <c r="D221" s="2"/>
      <c r="E221" s="2"/>
      <c r="F221" s="2"/>
      <c r="G221" s="2"/>
      <c r="H221" s="2"/>
      <c r="I221" s="2"/>
      <c r="J221" s="2"/>
      <c r="K221" s="2"/>
      <c r="L221" s="3" t="str">
        <f>IF(B221&lt;&gt;"Closed","",IF(K221&gt;=M221,"Target",IF(K221&lt;=N221,"Stop",IF(R221&gt;=Settings!$B$4,"Time","Manual"))))</f>
        <v/>
      </c>
      <c r="M221" s="3" t="str">
        <f>IF(F221="","",F221*(1+Settings!$B$2))</f>
        <v/>
      </c>
      <c r="N221" s="3" t="str">
        <f>IF(F221="","",F221*(1-Settings!$B$3))</f>
        <v/>
      </c>
      <c r="O221" s="3" t="str">
        <f>IF(E221="","",E221+Settings!$B$4)</f>
        <v/>
      </c>
      <c r="P221" s="3" t="str">
        <f t="shared" si="35"/>
        <v/>
      </c>
      <c r="Q221" s="3" t="str">
        <f t="shared" si="36"/>
        <v/>
      </c>
      <c r="R221" s="3" t="str">
        <f t="shared" ca="1" si="37"/>
        <v/>
      </c>
      <c r="S221" s="3" t="str">
        <f t="shared" ca="1" si="38"/>
        <v/>
      </c>
      <c r="T221" s="3" t="str">
        <f t="shared" si="39"/>
        <v/>
      </c>
      <c r="U221" s="3" t="str">
        <f t="shared" si="40"/>
        <v/>
      </c>
      <c r="V221" s="3" t="str">
        <f t="shared" si="41"/>
        <v/>
      </c>
      <c r="W221" s="3" t="str">
        <f t="shared" ca="1" si="42"/>
        <v/>
      </c>
      <c r="X221" s="3" t="str">
        <f t="shared" ca="1" si="43"/>
        <v/>
      </c>
      <c r="Y221" s="2"/>
    </row>
    <row r="222" spans="1:25">
      <c r="A222" s="3" t="str">
        <f t="shared" si="33"/>
        <v/>
      </c>
      <c r="B222" s="3" t="str">
        <f t="shared" si="34"/>
        <v/>
      </c>
      <c r="C222" s="2"/>
      <c r="D222" s="2"/>
      <c r="E222" s="2"/>
      <c r="F222" s="2"/>
      <c r="G222" s="2"/>
      <c r="H222" s="2"/>
      <c r="I222" s="2"/>
      <c r="J222" s="2"/>
      <c r="K222" s="2"/>
      <c r="L222" s="3" t="str">
        <f>IF(B222&lt;&gt;"Closed","",IF(K222&gt;=M222,"Target",IF(K222&lt;=N222,"Stop",IF(R222&gt;=Settings!$B$4,"Time","Manual"))))</f>
        <v/>
      </c>
      <c r="M222" s="3" t="str">
        <f>IF(F222="","",F222*(1+Settings!$B$2))</f>
        <v/>
      </c>
      <c r="N222" s="3" t="str">
        <f>IF(F222="","",F222*(1-Settings!$B$3))</f>
        <v/>
      </c>
      <c r="O222" s="3" t="str">
        <f>IF(E222="","",E222+Settings!$B$4)</f>
        <v/>
      </c>
      <c r="P222" s="3" t="str">
        <f t="shared" si="35"/>
        <v/>
      </c>
      <c r="Q222" s="3" t="str">
        <f t="shared" si="36"/>
        <v/>
      </c>
      <c r="R222" s="3" t="str">
        <f t="shared" ca="1" si="37"/>
        <v/>
      </c>
      <c r="S222" s="3" t="str">
        <f t="shared" ca="1" si="38"/>
        <v/>
      </c>
      <c r="T222" s="3" t="str">
        <f t="shared" si="39"/>
        <v/>
      </c>
      <c r="U222" s="3" t="str">
        <f t="shared" si="40"/>
        <v/>
      </c>
      <c r="V222" s="3" t="str">
        <f t="shared" si="41"/>
        <v/>
      </c>
      <c r="W222" s="3" t="str">
        <f t="shared" ca="1" si="42"/>
        <v/>
      </c>
      <c r="X222" s="3" t="str">
        <f t="shared" ca="1" si="43"/>
        <v/>
      </c>
      <c r="Y222" s="2"/>
    </row>
    <row r="223" spans="1:25">
      <c r="A223" s="3" t="str">
        <f t="shared" si="33"/>
        <v/>
      </c>
      <c r="B223" s="3" t="str">
        <f t="shared" si="34"/>
        <v/>
      </c>
      <c r="C223" s="2"/>
      <c r="D223" s="2"/>
      <c r="E223" s="2"/>
      <c r="F223" s="2"/>
      <c r="G223" s="2"/>
      <c r="H223" s="2"/>
      <c r="I223" s="2"/>
      <c r="J223" s="2"/>
      <c r="K223" s="2"/>
      <c r="L223" s="3" t="str">
        <f>IF(B223&lt;&gt;"Closed","",IF(K223&gt;=M223,"Target",IF(K223&lt;=N223,"Stop",IF(R223&gt;=Settings!$B$4,"Time","Manual"))))</f>
        <v/>
      </c>
      <c r="M223" s="3" t="str">
        <f>IF(F223="","",F223*(1+Settings!$B$2))</f>
        <v/>
      </c>
      <c r="N223" s="3" t="str">
        <f>IF(F223="","",F223*(1-Settings!$B$3))</f>
        <v/>
      </c>
      <c r="O223" s="3" t="str">
        <f>IF(E223="","",E223+Settings!$B$4)</f>
        <v/>
      </c>
      <c r="P223" s="3" t="str">
        <f t="shared" si="35"/>
        <v/>
      </c>
      <c r="Q223" s="3" t="str">
        <f t="shared" si="36"/>
        <v/>
      </c>
      <c r="R223" s="3" t="str">
        <f t="shared" ca="1" si="37"/>
        <v/>
      </c>
      <c r="S223" s="3" t="str">
        <f t="shared" ca="1" si="38"/>
        <v/>
      </c>
      <c r="T223" s="3" t="str">
        <f t="shared" si="39"/>
        <v/>
      </c>
      <c r="U223" s="3" t="str">
        <f t="shared" si="40"/>
        <v/>
      </c>
      <c r="V223" s="3" t="str">
        <f t="shared" si="41"/>
        <v/>
      </c>
      <c r="W223" s="3" t="str">
        <f t="shared" ca="1" si="42"/>
        <v/>
      </c>
      <c r="X223" s="3" t="str">
        <f t="shared" ca="1" si="43"/>
        <v/>
      </c>
      <c r="Y223" s="2"/>
    </row>
    <row r="224" spans="1:25">
      <c r="A224" s="3" t="str">
        <f t="shared" si="33"/>
        <v/>
      </c>
      <c r="B224" s="3" t="str">
        <f t="shared" si="34"/>
        <v/>
      </c>
      <c r="C224" s="2"/>
      <c r="D224" s="2"/>
      <c r="E224" s="2"/>
      <c r="F224" s="2"/>
      <c r="G224" s="2"/>
      <c r="H224" s="2"/>
      <c r="I224" s="2"/>
      <c r="J224" s="2"/>
      <c r="K224" s="2"/>
      <c r="L224" s="3" t="str">
        <f>IF(B224&lt;&gt;"Closed","",IF(K224&gt;=M224,"Target",IF(K224&lt;=N224,"Stop",IF(R224&gt;=Settings!$B$4,"Time","Manual"))))</f>
        <v/>
      </c>
      <c r="M224" s="3" t="str">
        <f>IF(F224="","",F224*(1+Settings!$B$2))</f>
        <v/>
      </c>
      <c r="N224" s="3" t="str">
        <f>IF(F224="","",F224*(1-Settings!$B$3))</f>
        <v/>
      </c>
      <c r="O224" s="3" t="str">
        <f>IF(E224="","",E224+Settings!$B$4)</f>
        <v/>
      </c>
      <c r="P224" s="3" t="str">
        <f t="shared" si="35"/>
        <v/>
      </c>
      <c r="Q224" s="3" t="str">
        <f t="shared" si="36"/>
        <v/>
      </c>
      <c r="R224" s="3" t="str">
        <f t="shared" ca="1" si="37"/>
        <v/>
      </c>
      <c r="S224" s="3" t="str">
        <f t="shared" ca="1" si="38"/>
        <v/>
      </c>
      <c r="T224" s="3" t="str">
        <f t="shared" si="39"/>
        <v/>
      </c>
      <c r="U224" s="3" t="str">
        <f t="shared" si="40"/>
        <v/>
      </c>
      <c r="V224" s="3" t="str">
        <f t="shared" si="41"/>
        <v/>
      </c>
      <c r="W224" s="3" t="str">
        <f t="shared" ca="1" si="42"/>
        <v/>
      </c>
      <c r="X224" s="3" t="str">
        <f t="shared" ca="1" si="43"/>
        <v/>
      </c>
      <c r="Y224" s="2"/>
    </row>
    <row r="225" spans="1:25">
      <c r="A225" s="3" t="str">
        <f t="shared" si="33"/>
        <v/>
      </c>
      <c r="B225" s="3" t="str">
        <f t="shared" si="34"/>
        <v/>
      </c>
      <c r="C225" s="2"/>
      <c r="D225" s="2"/>
      <c r="E225" s="2"/>
      <c r="F225" s="2"/>
      <c r="G225" s="2"/>
      <c r="H225" s="2"/>
      <c r="I225" s="2"/>
      <c r="J225" s="2"/>
      <c r="K225" s="2"/>
      <c r="L225" s="3" t="str">
        <f>IF(B225&lt;&gt;"Closed","",IF(K225&gt;=M225,"Target",IF(K225&lt;=N225,"Stop",IF(R225&gt;=Settings!$B$4,"Time","Manual"))))</f>
        <v/>
      </c>
      <c r="M225" s="3" t="str">
        <f>IF(F225="","",F225*(1+Settings!$B$2))</f>
        <v/>
      </c>
      <c r="N225" s="3" t="str">
        <f>IF(F225="","",F225*(1-Settings!$B$3))</f>
        <v/>
      </c>
      <c r="O225" s="3" t="str">
        <f>IF(E225="","",E225+Settings!$B$4)</f>
        <v/>
      </c>
      <c r="P225" s="3" t="str">
        <f t="shared" si="35"/>
        <v/>
      </c>
      <c r="Q225" s="3" t="str">
        <f t="shared" si="36"/>
        <v/>
      </c>
      <c r="R225" s="3" t="str">
        <f t="shared" ca="1" si="37"/>
        <v/>
      </c>
      <c r="S225" s="3" t="str">
        <f t="shared" ca="1" si="38"/>
        <v/>
      </c>
      <c r="T225" s="3" t="str">
        <f t="shared" si="39"/>
        <v/>
      </c>
      <c r="U225" s="3" t="str">
        <f t="shared" si="40"/>
        <v/>
      </c>
      <c r="V225" s="3" t="str">
        <f t="shared" si="41"/>
        <v/>
      </c>
      <c r="W225" s="3" t="str">
        <f t="shared" ca="1" si="42"/>
        <v/>
      </c>
      <c r="X225" s="3" t="str">
        <f t="shared" ca="1" si="43"/>
        <v/>
      </c>
      <c r="Y225" s="2"/>
    </row>
    <row r="226" spans="1:25">
      <c r="A226" s="3" t="str">
        <f t="shared" si="33"/>
        <v/>
      </c>
      <c r="B226" s="3" t="str">
        <f t="shared" si="34"/>
        <v/>
      </c>
      <c r="C226" s="2"/>
      <c r="D226" s="2"/>
      <c r="E226" s="2"/>
      <c r="F226" s="2"/>
      <c r="G226" s="2"/>
      <c r="H226" s="2"/>
      <c r="I226" s="2"/>
      <c r="J226" s="2"/>
      <c r="K226" s="2"/>
      <c r="L226" s="3" t="str">
        <f>IF(B226&lt;&gt;"Closed","",IF(K226&gt;=M226,"Target",IF(K226&lt;=N226,"Stop",IF(R226&gt;=Settings!$B$4,"Time","Manual"))))</f>
        <v/>
      </c>
      <c r="M226" s="3" t="str">
        <f>IF(F226="","",F226*(1+Settings!$B$2))</f>
        <v/>
      </c>
      <c r="N226" s="3" t="str">
        <f>IF(F226="","",F226*(1-Settings!$B$3))</f>
        <v/>
      </c>
      <c r="O226" s="3" t="str">
        <f>IF(E226="","",E226+Settings!$B$4)</f>
        <v/>
      </c>
      <c r="P226" s="3" t="str">
        <f t="shared" si="35"/>
        <v/>
      </c>
      <c r="Q226" s="3" t="str">
        <f t="shared" si="36"/>
        <v/>
      </c>
      <c r="R226" s="3" t="str">
        <f t="shared" ca="1" si="37"/>
        <v/>
      </c>
      <c r="S226" s="3" t="str">
        <f t="shared" ca="1" si="38"/>
        <v/>
      </c>
      <c r="T226" s="3" t="str">
        <f t="shared" si="39"/>
        <v/>
      </c>
      <c r="U226" s="3" t="str">
        <f t="shared" si="40"/>
        <v/>
      </c>
      <c r="V226" s="3" t="str">
        <f t="shared" si="41"/>
        <v/>
      </c>
      <c r="W226" s="3" t="str">
        <f t="shared" ca="1" si="42"/>
        <v/>
      </c>
      <c r="X226" s="3" t="str">
        <f t="shared" ca="1" si="43"/>
        <v/>
      </c>
      <c r="Y226" s="2"/>
    </row>
    <row r="227" spans="1:25">
      <c r="A227" s="3" t="str">
        <f t="shared" si="33"/>
        <v/>
      </c>
      <c r="B227" s="3" t="str">
        <f t="shared" si="34"/>
        <v/>
      </c>
      <c r="C227" s="2"/>
      <c r="D227" s="2"/>
      <c r="E227" s="2"/>
      <c r="F227" s="2"/>
      <c r="G227" s="2"/>
      <c r="H227" s="2"/>
      <c r="I227" s="2"/>
      <c r="J227" s="2"/>
      <c r="K227" s="2"/>
      <c r="L227" s="3" t="str">
        <f>IF(B227&lt;&gt;"Closed","",IF(K227&gt;=M227,"Target",IF(K227&lt;=N227,"Stop",IF(R227&gt;=Settings!$B$4,"Time","Manual"))))</f>
        <v/>
      </c>
      <c r="M227" s="3" t="str">
        <f>IF(F227="","",F227*(1+Settings!$B$2))</f>
        <v/>
      </c>
      <c r="N227" s="3" t="str">
        <f>IF(F227="","",F227*(1-Settings!$B$3))</f>
        <v/>
      </c>
      <c r="O227" s="3" t="str">
        <f>IF(E227="","",E227+Settings!$B$4)</f>
        <v/>
      </c>
      <c r="P227" s="3" t="str">
        <f t="shared" si="35"/>
        <v/>
      </c>
      <c r="Q227" s="3" t="str">
        <f t="shared" si="36"/>
        <v/>
      </c>
      <c r="R227" s="3" t="str">
        <f t="shared" ca="1" si="37"/>
        <v/>
      </c>
      <c r="S227" s="3" t="str">
        <f t="shared" ca="1" si="38"/>
        <v/>
      </c>
      <c r="T227" s="3" t="str">
        <f t="shared" si="39"/>
        <v/>
      </c>
      <c r="U227" s="3" t="str">
        <f t="shared" si="40"/>
        <v/>
      </c>
      <c r="V227" s="3" t="str">
        <f t="shared" si="41"/>
        <v/>
      </c>
      <c r="W227" s="3" t="str">
        <f t="shared" ca="1" si="42"/>
        <v/>
      </c>
      <c r="X227" s="3" t="str">
        <f t="shared" ca="1" si="43"/>
        <v/>
      </c>
      <c r="Y227" s="2"/>
    </row>
    <row r="228" spans="1:25">
      <c r="A228" s="3" t="str">
        <f t="shared" si="33"/>
        <v/>
      </c>
      <c r="B228" s="3" t="str">
        <f t="shared" si="34"/>
        <v/>
      </c>
      <c r="C228" s="2"/>
      <c r="D228" s="2"/>
      <c r="E228" s="2"/>
      <c r="F228" s="2"/>
      <c r="G228" s="2"/>
      <c r="H228" s="2"/>
      <c r="I228" s="2"/>
      <c r="J228" s="2"/>
      <c r="K228" s="2"/>
      <c r="L228" s="3" t="str">
        <f>IF(B228&lt;&gt;"Closed","",IF(K228&gt;=M228,"Target",IF(K228&lt;=N228,"Stop",IF(R228&gt;=Settings!$B$4,"Time","Manual"))))</f>
        <v/>
      </c>
      <c r="M228" s="3" t="str">
        <f>IF(F228="","",F228*(1+Settings!$B$2))</f>
        <v/>
      </c>
      <c r="N228" s="3" t="str">
        <f>IF(F228="","",F228*(1-Settings!$B$3))</f>
        <v/>
      </c>
      <c r="O228" s="3" t="str">
        <f>IF(E228="","",E228+Settings!$B$4)</f>
        <v/>
      </c>
      <c r="P228" s="3" t="str">
        <f t="shared" si="35"/>
        <v/>
      </c>
      <c r="Q228" s="3" t="str">
        <f t="shared" si="36"/>
        <v/>
      </c>
      <c r="R228" s="3" t="str">
        <f t="shared" ca="1" si="37"/>
        <v/>
      </c>
      <c r="S228" s="3" t="str">
        <f t="shared" ca="1" si="38"/>
        <v/>
      </c>
      <c r="T228" s="3" t="str">
        <f t="shared" si="39"/>
        <v/>
      </c>
      <c r="U228" s="3" t="str">
        <f t="shared" si="40"/>
        <v/>
      </c>
      <c r="V228" s="3" t="str">
        <f t="shared" si="41"/>
        <v/>
      </c>
      <c r="W228" s="3" t="str">
        <f t="shared" ca="1" si="42"/>
        <v/>
      </c>
      <c r="X228" s="3" t="str">
        <f t="shared" ca="1" si="43"/>
        <v/>
      </c>
      <c r="Y228" s="2"/>
    </row>
    <row r="229" spans="1:25">
      <c r="A229" s="3" t="str">
        <f t="shared" si="33"/>
        <v/>
      </c>
      <c r="B229" s="3" t="str">
        <f t="shared" si="34"/>
        <v/>
      </c>
      <c r="C229" s="2"/>
      <c r="D229" s="2"/>
      <c r="E229" s="2"/>
      <c r="F229" s="2"/>
      <c r="G229" s="2"/>
      <c r="H229" s="2"/>
      <c r="I229" s="2"/>
      <c r="J229" s="2"/>
      <c r="K229" s="2"/>
      <c r="L229" s="3" t="str">
        <f>IF(B229&lt;&gt;"Closed","",IF(K229&gt;=M229,"Target",IF(K229&lt;=N229,"Stop",IF(R229&gt;=Settings!$B$4,"Time","Manual"))))</f>
        <v/>
      </c>
      <c r="M229" s="3" t="str">
        <f>IF(F229="","",F229*(1+Settings!$B$2))</f>
        <v/>
      </c>
      <c r="N229" s="3" t="str">
        <f>IF(F229="","",F229*(1-Settings!$B$3))</f>
        <v/>
      </c>
      <c r="O229" s="3" t="str">
        <f>IF(E229="","",E229+Settings!$B$4)</f>
        <v/>
      </c>
      <c r="P229" s="3" t="str">
        <f t="shared" si="35"/>
        <v/>
      </c>
      <c r="Q229" s="3" t="str">
        <f t="shared" si="36"/>
        <v/>
      </c>
      <c r="R229" s="3" t="str">
        <f t="shared" ca="1" si="37"/>
        <v/>
      </c>
      <c r="S229" s="3" t="str">
        <f t="shared" ca="1" si="38"/>
        <v/>
      </c>
      <c r="T229" s="3" t="str">
        <f t="shared" si="39"/>
        <v/>
      </c>
      <c r="U229" s="3" t="str">
        <f t="shared" si="40"/>
        <v/>
      </c>
      <c r="V229" s="3" t="str">
        <f t="shared" si="41"/>
        <v/>
      </c>
      <c r="W229" s="3" t="str">
        <f t="shared" ca="1" si="42"/>
        <v/>
      </c>
      <c r="X229" s="3" t="str">
        <f t="shared" ca="1" si="43"/>
        <v/>
      </c>
      <c r="Y229" s="2"/>
    </row>
    <row r="230" spans="1:25">
      <c r="A230" s="3" t="str">
        <f t="shared" si="33"/>
        <v/>
      </c>
      <c r="B230" s="3" t="str">
        <f t="shared" si="34"/>
        <v/>
      </c>
      <c r="C230" s="2"/>
      <c r="D230" s="2"/>
      <c r="E230" s="2"/>
      <c r="F230" s="2"/>
      <c r="G230" s="2"/>
      <c r="H230" s="2"/>
      <c r="I230" s="2"/>
      <c r="J230" s="2"/>
      <c r="K230" s="2"/>
      <c r="L230" s="3" t="str">
        <f>IF(B230&lt;&gt;"Closed","",IF(K230&gt;=M230,"Target",IF(K230&lt;=N230,"Stop",IF(R230&gt;=Settings!$B$4,"Time","Manual"))))</f>
        <v/>
      </c>
      <c r="M230" s="3" t="str">
        <f>IF(F230="","",F230*(1+Settings!$B$2))</f>
        <v/>
      </c>
      <c r="N230" s="3" t="str">
        <f>IF(F230="","",F230*(1-Settings!$B$3))</f>
        <v/>
      </c>
      <c r="O230" s="3" t="str">
        <f>IF(E230="","",E230+Settings!$B$4)</f>
        <v/>
      </c>
      <c r="P230" s="3" t="str">
        <f t="shared" si="35"/>
        <v/>
      </c>
      <c r="Q230" s="3" t="str">
        <f t="shared" si="36"/>
        <v/>
      </c>
      <c r="R230" s="3" t="str">
        <f t="shared" ca="1" si="37"/>
        <v/>
      </c>
      <c r="S230" s="3" t="str">
        <f t="shared" ca="1" si="38"/>
        <v/>
      </c>
      <c r="T230" s="3" t="str">
        <f t="shared" si="39"/>
        <v/>
      </c>
      <c r="U230" s="3" t="str">
        <f t="shared" si="40"/>
        <v/>
      </c>
      <c r="V230" s="3" t="str">
        <f t="shared" si="41"/>
        <v/>
      </c>
      <c r="W230" s="3" t="str">
        <f t="shared" ca="1" si="42"/>
        <v/>
      </c>
      <c r="X230" s="3" t="str">
        <f t="shared" ca="1" si="43"/>
        <v/>
      </c>
      <c r="Y230" s="2"/>
    </row>
    <row r="231" spans="1:25">
      <c r="A231" s="3" t="str">
        <f t="shared" si="33"/>
        <v/>
      </c>
      <c r="B231" s="3" t="str">
        <f t="shared" si="34"/>
        <v/>
      </c>
      <c r="C231" s="2"/>
      <c r="D231" s="2"/>
      <c r="E231" s="2"/>
      <c r="F231" s="2"/>
      <c r="G231" s="2"/>
      <c r="H231" s="2"/>
      <c r="I231" s="2"/>
      <c r="J231" s="2"/>
      <c r="K231" s="2"/>
      <c r="L231" s="3" t="str">
        <f>IF(B231&lt;&gt;"Closed","",IF(K231&gt;=M231,"Target",IF(K231&lt;=N231,"Stop",IF(R231&gt;=Settings!$B$4,"Time","Manual"))))</f>
        <v/>
      </c>
      <c r="M231" s="3" t="str">
        <f>IF(F231="","",F231*(1+Settings!$B$2))</f>
        <v/>
      </c>
      <c r="N231" s="3" t="str">
        <f>IF(F231="","",F231*(1-Settings!$B$3))</f>
        <v/>
      </c>
      <c r="O231" s="3" t="str">
        <f>IF(E231="","",E231+Settings!$B$4)</f>
        <v/>
      </c>
      <c r="P231" s="3" t="str">
        <f t="shared" si="35"/>
        <v/>
      </c>
      <c r="Q231" s="3" t="str">
        <f t="shared" si="36"/>
        <v/>
      </c>
      <c r="R231" s="3" t="str">
        <f t="shared" ca="1" si="37"/>
        <v/>
      </c>
      <c r="S231" s="3" t="str">
        <f t="shared" ca="1" si="38"/>
        <v/>
      </c>
      <c r="T231" s="3" t="str">
        <f t="shared" si="39"/>
        <v/>
      </c>
      <c r="U231" s="3" t="str">
        <f t="shared" si="40"/>
        <v/>
      </c>
      <c r="V231" s="3" t="str">
        <f t="shared" si="41"/>
        <v/>
      </c>
      <c r="W231" s="3" t="str">
        <f t="shared" ca="1" si="42"/>
        <v/>
      </c>
      <c r="X231" s="3" t="str">
        <f t="shared" ca="1" si="43"/>
        <v/>
      </c>
      <c r="Y231" s="2"/>
    </row>
    <row r="232" spans="1:25">
      <c r="A232" s="3" t="str">
        <f t="shared" si="33"/>
        <v/>
      </c>
      <c r="B232" s="3" t="str">
        <f t="shared" si="34"/>
        <v/>
      </c>
      <c r="C232" s="2"/>
      <c r="D232" s="2"/>
      <c r="E232" s="2"/>
      <c r="F232" s="2"/>
      <c r="G232" s="2"/>
      <c r="H232" s="2"/>
      <c r="I232" s="2"/>
      <c r="J232" s="2"/>
      <c r="K232" s="2"/>
      <c r="L232" s="3" t="str">
        <f>IF(B232&lt;&gt;"Closed","",IF(K232&gt;=M232,"Target",IF(K232&lt;=N232,"Stop",IF(R232&gt;=Settings!$B$4,"Time","Manual"))))</f>
        <v/>
      </c>
      <c r="M232" s="3" t="str">
        <f>IF(F232="","",F232*(1+Settings!$B$2))</f>
        <v/>
      </c>
      <c r="N232" s="3" t="str">
        <f>IF(F232="","",F232*(1-Settings!$B$3))</f>
        <v/>
      </c>
      <c r="O232" s="3" t="str">
        <f>IF(E232="","",E232+Settings!$B$4)</f>
        <v/>
      </c>
      <c r="P232" s="3" t="str">
        <f t="shared" si="35"/>
        <v/>
      </c>
      <c r="Q232" s="3" t="str">
        <f t="shared" si="36"/>
        <v/>
      </c>
      <c r="R232" s="3" t="str">
        <f t="shared" ca="1" si="37"/>
        <v/>
      </c>
      <c r="S232" s="3" t="str">
        <f t="shared" ca="1" si="38"/>
        <v/>
      </c>
      <c r="T232" s="3" t="str">
        <f t="shared" si="39"/>
        <v/>
      </c>
      <c r="U232" s="3" t="str">
        <f t="shared" si="40"/>
        <v/>
      </c>
      <c r="V232" s="3" t="str">
        <f t="shared" si="41"/>
        <v/>
      </c>
      <c r="W232" s="3" t="str">
        <f t="shared" ca="1" si="42"/>
        <v/>
      </c>
      <c r="X232" s="3" t="str">
        <f t="shared" ca="1" si="43"/>
        <v/>
      </c>
      <c r="Y232" s="2"/>
    </row>
    <row r="233" spans="1:25">
      <c r="A233" s="3" t="str">
        <f t="shared" si="33"/>
        <v/>
      </c>
      <c r="B233" s="3" t="str">
        <f t="shared" si="34"/>
        <v/>
      </c>
      <c r="C233" s="2"/>
      <c r="D233" s="2"/>
      <c r="E233" s="2"/>
      <c r="F233" s="2"/>
      <c r="G233" s="2"/>
      <c r="H233" s="2"/>
      <c r="I233" s="2"/>
      <c r="J233" s="2"/>
      <c r="K233" s="2"/>
      <c r="L233" s="3" t="str">
        <f>IF(B233&lt;&gt;"Closed","",IF(K233&gt;=M233,"Target",IF(K233&lt;=N233,"Stop",IF(R233&gt;=Settings!$B$4,"Time","Manual"))))</f>
        <v/>
      </c>
      <c r="M233" s="3" t="str">
        <f>IF(F233="","",F233*(1+Settings!$B$2))</f>
        <v/>
      </c>
      <c r="N233" s="3" t="str">
        <f>IF(F233="","",F233*(1-Settings!$B$3))</f>
        <v/>
      </c>
      <c r="O233" s="3" t="str">
        <f>IF(E233="","",E233+Settings!$B$4)</f>
        <v/>
      </c>
      <c r="P233" s="3" t="str">
        <f t="shared" si="35"/>
        <v/>
      </c>
      <c r="Q233" s="3" t="str">
        <f t="shared" si="36"/>
        <v/>
      </c>
      <c r="R233" s="3" t="str">
        <f t="shared" ca="1" si="37"/>
        <v/>
      </c>
      <c r="S233" s="3" t="str">
        <f t="shared" ca="1" si="38"/>
        <v/>
      </c>
      <c r="T233" s="3" t="str">
        <f t="shared" si="39"/>
        <v/>
      </c>
      <c r="U233" s="3" t="str">
        <f t="shared" si="40"/>
        <v/>
      </c>
      <c r="V233" s="3" t="str">
        <f t="shared" si="41"/>
        <v/>
      </c>
      <c r="W233" s="3" t="str">
        <f t="shared" ca="1" si="42"/>
        <v/>
      </c>
      <c r="X233" s="3" t="str">
        <f t="shared" ca="1" si="43"/>
        <v/>
      </c>
      <c r="Y233" s="2"/>
    </row>
    <row r="234" spans="1:25">
      <c r="A234" s="3" t="str">
        <f t="shared" si="33"/>
        <v/>
      </c>
      <c r="B234" s="3" t="str">
        <f t="shared" si="34"/>
        <v/>
      </c>
      <c r="C234" s="2"/>
      <c r="D234" s="2"/>
      <c r="E234" s="2"/>
      <c r="F234" s="2"/>
      <c r="G234" s="2"/>
      <c r="H234" s="2"/>
      <c r="I234" s="2"/>
      <c r="J234" s="2"/>
      <c r="K234" s="2"/>
      <c r="L234" s="3" t="str">
        <f>IF(B234&lt;&gt;"Closed","",IF(K234&gt;=M234,"Target",IF(K234&lt;=N234,"Stop",IF(R234&gt;=Settings!$B$4,"Time","Manual"))))</f>
        <v/>
      </c>
      <c r="M234" s="3" t="str">
        <f>IF(F234="","",F234*(1+Settings!$B$2))</f>
        <v/>
      </c>
      <c r="N234" s="3" t="str">
        <f>IF(F234="","",F234*(1-Settings!$B$3))</f>
        <v/>
      </c>
      <c r="O234" s="3" t="str">
        <f>IF(E234="","",E234+Settings!$B$4)</f>
        <v/>
      </c>
      <c r="P234" s="3" t="str">
        <f t="shared" si="35"/>
        <v/>
      </c>
      <c r="Q234" s="3" t="str">
        <f t="shared" si="36"/>
        <v/>
      </c>
      <c r="R234" s="3" t="str">
        <f t="shared" ca="1" si="37"/>
        <v/>
      </c>
      <c r="S234" s="3" t="str">
        <f t="shared" ca="1" si="38"/>
        <v/>
      </c>
      <c r="T234" s="3" t="str">
        <f t="shared" si="39"/>
        <v/>
      </c>
      <c r="U234" s="3" t="str">
        <f t="shared" si="40"/>
        <v/>
      </c>
      <c r="V234" s="3" t="str">
        <f t="shared" si="41"/>
        <v/>
      </c>
      <c r="W234" s="3" t="str">
        <f t="shared" ca="1" si="42"/>
        <v/>
      </c>
      <c r="X234" s="3" t="str">
        <f t="shared" ca="1" si="43"/>
        <v/>
      </c>
      <c r="Y234" s="2"/>
    </row>
    <row r="235" spans="1:25">
      <c r="A235" s="3" t="str">
        <f t="shared" si="33"/>
        <v/>
      </c>
      <c r="B235" s="3" t="str">
        <f t="shared" si="34"/>
        <v/>
      </c>
      <c r="C235" s="2"/>
      <c r="D235" s="2"/>
      <c r="E235" s="2"/>
      <c r="F235" s="2"/>
      <c r="G235" s="2"/>
      <c r="H235" s="2"/>
      <c r="I235" s="2"/>
      <c r="J235" s="2"/>
      <c r="K235" s="2"/>
      <c r="L235" s="3" t="str">
        <f>IF(B235&lt;&gt;"Closed","",IF(K235&gt;=M235,"Target",IF(K235&lt;=N235,"Stop",IF(R235&gt;=Settings!$B$4,"Time","Manual"))))</f>
        <v/>
      </c>
      <c r="M235" s="3" t="str">
        <f>IF(F235="","",F235*(1+Settings!$B$2))</f>
        <v/>
      </c>
      <c r="N235" s="3" t="str">
        <f>IF(F235="","",F235*(1-Settings!$B$3))</f>
        <v/>
      </c>
      <c r="O235" s="3" t="str">
        <f>IF(E235="","",E235+Settings!$B$4)</f>
        <v/>
      </c>
      <c r="P235" s="3" t="str">
        <f t="shared" si="35"/>
        <v/>
      </c>
      <c r="Q235" s="3" t="str">
        <f t="shared" si="36"/>
        <v/>
      </c>
      <c r="R235" s="3" t="str">
        <f t="shared" ca="1" si="37"/>
        <v/>
      </c>
      <c r="S235" s="3" t="str">
        <f t="shared" ca="1" si="38"/>
        <v/>
      </c>
      <c r="T235" s="3" t="str">
        <f t="shared" si="39"/>
        <v/>
      </c>
      <c r="U235" s="3" t="str">
        <f t="shared" si="40"/>
        <v/>
      </c>
      <c r="V235" s="3" t="str">
        <f t="shared" si="41"/>
        <v/>
      </c>
      <c r="W235" s="3" t="str">
        <f t="shared" ca="1" si="42"/>
        <v/>
      </c>
      <c r="X235" s="3" t="str">
        <f t="shared" ca="1" si="43"/>
        <v/>
      </c>
      <c r="Y235" s="2"/>
    </row>
    <row r="236" spans="1:25">
      <c r="A236" s="3" t="str">
        <f t="shared" si="33"/>
        <v/>
      </c>
      <c r="B236" s="3" t="str">
        <f t="shared" si="34"/>
        <v/>
      </c>
      <c r="C236" s="2"/>
      <c r="D236" s="2"/>
      <c r="E236" s="2"/>
      <c r="F236" s="2"/>
      <c r="G236" s="2"/>
      <c r="H236" s="2"/>
      <c r="I236" s="2"/>
      <c r="J236" s="2"/>
      <c r="K236" s="2"/>
      <c r="L236" s="3" t="str">
        <f>IF(B236&lt;&gt;"Closed","",IF(K236&gt;=M236,"Target",IF(K236&lt;=N236,"Stop",IF(R236&gt;=Settings!$B$4,"Time","Manual"))))</f>
        <v/>
      </c>
      <c r="M236" s="3" t="str">
        <f>IF(F236="","",F236*(1+Settings!$B$2))</f>
        <v/>
      </c>
      <c r="N236" s="3" t="str">
        <f>IF(F236="","",F236*(1-Settings!$B$3))</f>
        <v/>
      </c>
      <c r="O236" s="3" t="str">
        <f>IF(E236="","",E236+Settings!$B$4)</f>
        <v/>
      </c>
      <c r="P236" s="3" t="str">
        <f t="shared" si="35"/>
        <v/>
      </c>
      <c r="Q236" s="3" t="str">
        <f t="shared" si="36"/>
        <v/>
      </c>
      <c r="R236" s="3" t="str">
        <f t="shared" ca="1" si="37"/>
        <v/>
      </c>
      <c r="S236" s="3" t="str">
        <f t="shared" ca="1" si="38"/>
        <v/>
      </c>
      <c r="T236" s="3" t="str">
        <f t="shared" si="39"/>
        <v/>
      </c>
      <c r="U236" s="3" t="str">
        <f t="shared" si="40"/>
        <v/>
      </c>
      <c r="V236" s="3" t="str">
        <f t="shared" si="41"/>
        <v/>
      </c>
      <c r="W236" s="3" t="str">
        <f t="shared" ca="1" si="42"/>
        <v/>
      </c>
      <c r="X236" s="3" t="str">
        <f t="shared" ca="1" si="43"/>
        <v/>
      </c>
      <c r="Y236" s="2"/>
    </row>
    <row r="237" spans="1:25">
      <c r="A237" s="3" t="str">
        <f t="shared" si="33"/>
        <v/>
      </c>
      <c r="B237" s="3" t="str">
        <f t="shared" si="34"/>
        <v/>
      </c>
      <c r="C237" s="2"/>
      <c r="D237" s="2"/>
      <c r="E237" s="2"/>
      <c r="F237" s="2"/>
      <c r="G237" s="2"/>
      <c r="H237" s="2"/>
      <c r="I237" s="2"/>
      <c r="J237" s="2"/>
      <c r="K237" s="2"/>
      <c r="L237" s="3" t="str">
        <f>IF(B237&lt;&gt;"Closed","",IF(K237&gt;=M237,"Target",IF(K237&lt;=N237,"Stop",IF(R237&gt;=Settings!$B$4,"Time","Manual"))))</f>
        <v/>
      </c>
      <c r="M237" s="3" t="str">
        <f>IF(F237="","",F237*(1+Settings!$B$2))</f>
        <v/>
      </c>
      <c r="N237" s="3" t="str">
        <f>IF(F237="","",F237*(1-Settings!$B$3))</f>
        <v/>
      </c>
      <c r="O237" s="3" t="str">
        <f>IF(E237="","",E237+Settings!$B$4)</f>
        <v/>
      </c>
      <c r="P237" s="3" t="str">
        <f t="shared" si="35"/>
        <v/>
      </c>
      <c r="Q237" s="3" t="str">
        <f t="shared" si="36"/>
        <v/>
      </c>
      <c r="R237" s="3" t="str">
        <f t="shared" ca="1" si="37"/>
        <v/>
      </c>
      <c r="S237" s="3" t="str">
        <f t="shared" ca="1" si="38"/>
        <v/>
      </c>
      <c r="T237" s="3" t="str">
        <f t="shared" si="39"/>
        <v/>
      </c>
      <c r="U237" s="3" t="str">
        <f t="shared" si="40"/>
        <v/>
      </c>
      <c r="V237" s="3" t="str">
        <f t="shared" si="41"/>
        <v/>
      </c>
      <c r="W237" s="3" t="str">
        <f t="shared" ca="1" si="42"/>
        <v/>
      </c>
      <c r="X237" s="3" t="str">
        <f t="shared" ca="1" si="43"/>
        <v/>
      </c>
      <c r="Y237" s="2"/>
    </row>
    <row r="238" spans="1:25">
      <c r="A238" s="3" t="str">
        <f t="shared" si="33"/>
        <v/>
      </c>
      <c r="B238" s="3" t="str">
        <f t="shared" si="34"/>
        <v/>
      </c>
      <c r="C238" s="2"/>
      <c r="D238" s="2"/>
      <c r="E238" s="2"/>
      <c r="F238" s="2"/>
      <c r="G238" s="2"/>
      <c r="H238" s="2"/>
      <c r="I238" s="2"/>
      <c r="J238" s="2"/>
      <c r="K238" s="2"/>
      <c r="L238" s="3" t="str">
        <f>IF(B238&lt;&gt;"Closed","",IF(K238&gt;=M238,"Target",IF(K238&lt;=N238,"Stop",IF(R238&gt;=Settings!$B$4,"Time","Manual"))))</f>
        <v/>
      </c>
      <c r="M238" s="3" t="str">
        <f>IF(F238="","",F238*(1+Settings!$B$2))</f>
        <v/>
      </c>
      <c r="N238" s="3" t="str">
        <f>IF(F238="","",F238*(1-Settings!$B$3))</f>
        <v/>
      </c>
      <c r="O238" s="3" t="str">
        <f>IF(E238="","",E238+Settings!$B$4)</f>
        <v/>
      </c>
      <c r="P238" s="3" t="str">
        <f t="shared" si="35"/>
        <v/>
      </c>
      <c r="Q238" s="3" t="str">
        <f t="shared" si="36"/>
        <v/>
      </c>
      <c r="R238" s="3" t="str">
        <f t="shared" ca="1" si="37"/>
        <v/>
      </c>
      <c r="S238" s="3" t="str">
        <f t="shared" ca="1" si="38"/>
        <v/>
      </c>
      <c r="T238" s="3" t="str">
        <f t="shared" si="39"/>
        <v/>
      </c>
      <c r="U238" s="3" t="str">
        <f t="shared" si="40"/>
        <v/>
      </c>
      <c r="V238" s="3" t="str">
        <f t="shared" si="41"/>
        <v/>
      </c>
      <c r="W238" s="3" t="str">
        <f t="shared" ca="1" si="42"/>
        <v/>
      </c>
      <c r="X238" s="3" t="str">
        <f t="shared" ca="1" si="43"/>
        <v/>
      </c>
      <c r="Y238" s="2"/>
    </row>
    <row r="239" spans="1:25">
      <c r="A239" s="3" t="str">
        <f t="shared" si="33"/>
        <v/>
      </c>
      <c r="B239" s="3" t="str">
        <f t="shared" si="34"/>
        <v/>
      </c>
      <c r="C239" s="2"/>
      <c r="D239" s="2"/>
      <c r="E239" s="2"/>
      <c r="F239" s="2"/>
      <c r="G239" s="2"/>
      <c r="H239" s="2"/>
      <c r="I239" s="2"/>
      <c r="J239" s="2"/>
      <c r="K239" s="2"/>
      <c r="L239" s="3" t="str">
        <f>IF(B239&lt;&gt;"Closed","",IF(K239&gt;=M239,"Target",IF(K239&lt;=N239,"Stop",IF(R239&gt;=Settings!$B$4,"Time","Manual"))))</f>
        <v/>
      </c>
      <c r="M239" s="3" t="str">
        <f>IF(F239="","",F239*(1+Settings!$B$2))</f>
        <v/>
      </c>
      <c r="N239" s="3" t="str">
        <f>IF(F239="","",F239*(1-Settings!$B$3))</f>
        <v/>
      </c>
      <c r="O239" s="3" t="str">
        <f>IF(E239="","",E239+Settings!$B$4)</f>
        <v/>
      </c>
      <c r="P239" s="3" t="str">
        <f t="shared" si="35"/>
        <v/>
      </c>
      <c r="Q239" s="3" t="str">
        <f t="shared" si="36"/>
        <v/>
      </c>
      <c r="R239" s="3" t="str">
        <f t="shared" ca="1" si="37"/>
        <v/>
      </c>
      <c r="S239" s="3" t="str">
        <f t="shared" ca="1" si="38"/>
        <v/>
      </c>
      <c r="T239" s="3" t="str">
        <f t="shared" si="39"/>
        <v/>
      </c>
      <c r="U239" s="3" t="str">
        <f t="shared" si="40"/>
        <v/>
      </c>
      <c r="V239" s="3" t="str">
        <f t="shared" si="41"/>
        <v/>
      </c>
      <c r="W239" s="3" t="str">
        <f t="shared" ca="1" si="42"/>
        <v/>
      </c>
      <c r="X239" s="3" t="str">
        <f t="shared" ca="1" si="43"/>
        <v/>
      </c>
      <c r="Y239" s="2"/>
    </row>
    <row r="240" spans="1:25">
      <c r="A240" s="3" t="str">
        <f t="shared" si="33"/>
        <v/>
      </c>
      <c r="B240" s="3" t="str">
        <f t="shared" si="34"/>
        <v/>
      </c>
      <c r="C240" s="2"/>
      <c r="D240" s="2"/>
      <c r="E240" s="2"/>
      <c r="F240" s="2"/>
      <c r="G240" s="2"/>
      <c r="H240" s="2"/>
      <c r="I240" s="2"/>
      <c r="J240" s="2"/>
      <c r="K240" s="2"/>
      <c r="L240" s="3" t="str">
        <f>IF(B240&lt;&gt;"Closed","",IF(K240&gt;=M240,"Target",IF(K240&lt;=N240,"Stop",IF(R240&gt;=Settings!$B$4,"Time","Manual"))))</f>
        <v/>
      </c>
      <c r="M240" s="3" t="str">
        <f>IF(F240="","",F240*(1+Settings!$B$2))</f>
        <v/>
      </c>
      <c r="N240" s="3" t="str">
        <f>IF(F240="","",F240*(1-Settings!$B$3))</f>
        <v/>
      </c>
      <c r="O240" s="3" t="str">
        <f>IF(E240="","",E240+Settings!$B$4)</f>
        <v/>
      </c>
      <c r="P240" s="3" t="str">
        <f t="shared" si="35"/>
        <v/>
      </c>
      <c r="Q240" s="3" t="str">
        <f t="shared" si="36"/>
        <v/>
      </c>
      <c r="R240" s="3" t="str">
        <f t="shared" ca="1" si="37"/>
        <v/>
      </c>
      <c r="S240" s="3" t="str">
        <f t="shared" ca="1" si="38"/>
        <v/>
      </c>
      <c r="T240" s="3" t="str">
        <f t="shared" si="39"/>
        <v/>
      </c>
      <c r="U240" s="3" t="str">
        <f t="shared" si="40"/>
        <v/>
      </c>
      <c r="V240" s="3" t="str">
        <f t="shared" si="41"/>
        <v/>
      </c>
      <c r="W240" s="3" t="str">
        <f t="shared" ca="1" si="42"/>
        <v/>
      </c>
      <c r="X240" s="3" t="str">
        <f t="shared" ca="1" si="43"/>
        <v/>
      </c>
      <c r="Y240" s="2"/>
    </row>
    <row r="241" spans="1:25">
      <c r="A241" s="3" t="str">
        <f t="shared" si="33"/>
        <v/>
      </c>
      <c r="B241" s="3" t="str">
        <f t="shared" si="34"/>
        <v/>
      </c>
      <c r="C241" s="2"/>
      <c r="D241" s="2"/>
      <c r="E241" s="2"/>
      <c r="F241" s="2"/>
      <c r="G241" s="2"/>
      <c r="H241" s="2"/>
      <c r="I241" s="2"/>
      <c r="J241" s="2"/>
      <c r="K241" s="2"/>
      <c r="L241" s="3" t="str">
        <f>IF(B241&lt;&gt;"Closed","",IF(K241&gt;=M241,"Target",IF(K241&lt;=N241,"Stop",IF(R241&gt;=Settings!$B$4,"Time","Manual"))))</f>
        <v/>
      </c>
      <c r="M241" s="3" t="str">
        <f>IF(F241="","",F241*(1+Settings!$B$2))</f>
        <v/>
      </c>
      <c r="N241" s="3" t="str">
        <f>IF(F241="","",F241*(1-Settings!$B$3))</f>
        <v/>
      </c>
      <c r="O241" s="3" t="str">
        <f>IF(E241="","",E241+Settings!$B$4)</f>
        <v/>
      </c>
      <c r="P241" s="3" t="str">
        <f t="shared" si="35"/>
        <v/>
      </c>
      <c r="Q241" s="3" t="str">
        <f t="shared" si="36"/>
        <v/>
      </c>
      <c r="R241" s="3" t="str">
        <f t="shared" ca="1" si="37"/>
        <v/>
      </c>
      <c r="S241" s="3" t="str">
        <f t="shared" ca="1" si="38"/>
        <v/>
      </c>
      <c r="T241" s="3" t="str">
        <f t="shared" si="39"/>
        <v/>
      </c>
      <c r="U241" s="3" t="str">
        <f t="shared" si="40"/>
        <v/>
      </c>
      <c r="V241" s="3" t="str">
        <f t="shared" si="41"/>
        <v/>
      </c>
      <c r="W241" s="3" t="str">
        <f t="shared" ca="1" si="42"/>
        <v/>
      </c>
      <c r="X241" s="3" t="str">
        <f t="shared" ca="1" si="43"/>
        <v/>
      </c>
      <c r="Y241" s="2"/>
    </row>
    <row r="242" spans="1:25">
      <c r="A242" s="3" t="str">
        <f t="shared" si="33"/>
        <v/>
      </c>
      <c r="B242" s="3" t="str">
        <f t="shared" si="34"/>
        <v/>
      </c>
      <c r="C242" s="2"/>
      <c r="D242" s="2"/>
      <c r="E242" s="2"/>
      <c r="F242" s="2"/>
      <c r="G242" s="2"/>
      <c r="H242" s="2"/>
      <c r="I242" s="2"/>
      <c r="J242" s="2"/>
      <c r="K242" s="2"/>
      <c r="L242" s="3" t="str">
        <f>IF(B242&lt;&gt;"Closed","",IF(K242&gt;=M242,"Target",IF(K242&lt;=N242,"Stop",IF(R242&gt;=Settings!$B$4,"Time","Manual"))))</f>
        <v/>
      </c>
      <c r="M242" s="3" t="str">
        <f>IF(F242="","",F242*(1+Settings!$B$2))</f>
        <v/>
      </c>
      <c r="N242" s="3" t="str">
        <f>IF(F242="","",F242*(1-Settings!$B$3))</f>
        <v/>
      </c>
      <c r="O242" s="3" t="str">
        <f>IF(E242="","",E242+Settings!$B$4)</f>
        <v/>
      </c>
      <c r="P242" s="3" t="str">
        <f t="shared" si="35"/>
        <v/>
      </c>
      <c r="Q242" s="3" t="str">
        <f t="shared" si="36"/>
        <v/>
      </c>
      <c r="R242" s="3" t="str">
        <f t="shared" ca="1" si="37"/>
        <v/>
      </c>
      <c r="S242" s="3" t="str">
        <f t="shared" ca="1" si="38"/>
        <v/>
      </c>
      <c r="T242" s="3" t="str">
        <f t="shared" si="39"/>
        <v/>
      </c>
      <c r="U242" s="3" t="str">
        <f t="shared" si="40"/>
        <v/>
      </c>
      <c r="V242" s="3" t="str">
        <f t="shared" si="41"/>
        <v/>
      </c>
      <c r="W242" s="3" t="str">
        <f t="shared" ca="1" si="42"/>
        <v/>
      </c>
      <c r="X242" s="3" t="str">
        <f t="shared" ca="1" si="43"/>
        <v/>
      </c>
      <c r="Y242" s="2"/>
    </row>
    <row r="243" spans="1:25">
      <c r="A243" s="3" t="str">
        <f t="shared" si="33"/>
        <v/>
      </c>
      <c r="B243" s="3" t="str">
        <f t="shared" si="34"/>
        <v/>
      </c>
      <c r="C243" s="2"/>
      <c r="D243" s="2"/>
      <c r="E243" s="2"/>
      <c r="F243" s="2"/>
      <c r="G243" s="2"/>
      <c r="H243" s="2"/>
      <c r="I243" s="2"/>
      <c r="J243" s="2"/>
      <c r="K243" s="2"/>
      <c r="L243" s="3" t="str">
        <f>IF(B243&lt;&gt;"Closed","",IF(K243&gt;=M243,"Target",IF(K243&lt;=N243,"Stop",IF(R243&gt;=Settings!$B$4,"Time","Manual"))))</f>
        <v/>
      </c>
      <c r="M243" s="3" t="str">
        <f>IF(F243="","",F243*(1+Settings!$B$2))</f>
        <v/>
      </c>
      <c r="N243" s="3" t="str">
        <f>IF(F243="","",F243*(1-Settings!$B$3))</f>
        <v/>
      </c>
      <c r="O243" s="3" t="str">
        <f>IF(E243="","",E243+Settings!$B$4)</f>
        <v/>
      </c>
      <c r="P243" s="3" t="str">
        <f t="shared" si="35"/>
        <v/>
      </c>
      <c r="Q243" s="3" t="str">
        <f t="shared" si="36"/>
        <v/>
      </c>
      <c r="R243" s="3" t="str">
        <f t="shared" ca="1" si="37"/>
        <v/>
      </c>
      <c r="S243" s="3" t="str">
        <f t="shared" ca="1" si="38"/>
        <v/>
      </c>
      <c r="T243" s="3" t="str">
        <f t="shared" si="39"/>
        <v/>
      </c>
      <c r="U243" s="3" t="str">
        <f t="shared" si="40"/>
        <v/>
      </c>
      <c r="V243" s="3" t="str">
        <f t="shared" si="41"/>
        <v/>
      </c>
      <c r="W243" s="3" t="str">
        <f t="shared" ca="1" si="42"/>
        <v/>
      </c>
      <c r="X243" s="3" t="str">
        <f t="shared" ca="1" si="43"/>
        <v/>
      </c>
      <c r="Y243" s="2"/>
    </row>
    <row r="244" spans="1:25">
      <c r="A244" s="3" t="str">
        <f t="shared" si="33"/>
        <v/>
      </c>
      <c r="B244" s="3" t="str">
        <f t="shared" si="34"/>
        <v/>
      </c>
      <c r="C244" s="2"/>
      <c r="D244" s="2"/>
      <c r="E244" s="2"/>
      <c r="F244" s="2"/>
      <c r="G244" s="2"/>
      <c r="H244" s="2"/>
      <c r="I244" s="2"/>
      <c r="J244" s="2"/>
      <c r="K244" s="2"/>
      <c r="L244" s="3" t="str">
        <f>IF(B244&lt;&gt;"Closed","",IF(K244&gt;=M244,"Target",IF(K244&lt;=N244,"Stop",IF(R244&gt;=Settings!$B$4,"Time","Manual"))))</f>
        <v/>
      </c>
      <c r="M244" s="3" t="str">
        <f>IF(F244="","",F244*(1+Settings!$B$2))</f>
        <v/>
      </c>
      <c r="N244" s="3" t="str">
        <f>IF(F244="","",F244*(1-Settings!$B$3))</f>
        <v/>
      </c>
      <c r="O244" s="3" t="str">
        <f>IF(E244="","",E244+Settings!$B$4)</f>
        <v/>
      </c>
      <c r="P244" s="3" t="str">
        <f t="shared" si="35"/>
        <v/>
      </c>
      <c r="Q244" s="3" t="str">
        <f t="shared" si="36"/>
        <v/>
      </c>
      <c r="R244" s="3" t="str">
        <f t="shared" ca="1" si="37"/>
        <v/>
      </c>
      <c r="S244" s="3" t="str">
        <f t="shared" ca="1" si="38"/>
        <v/>
      </c>
      <c r="T244" s="3" t="str">
        <f t="shared" si="39"/>
        <v/>
      </c>
      <c r="U244" s="3" t="str">
        <f t="shared" si="40"/>
        <v/>
      </c>
      <c r="V244" s="3" t="str">
        <f t="shared" si="41"/>
        <v/>
      </c>
      <c r="W244" s="3" t="str">
        <f t="shared" ca="1" si="42"/>
        <v/>
      </c>
      <c r="X244" s="3" t="str">
        <f t="shared" ca="1" si="43"/>
        <v/>
      </c>
      <c r="Y244" s="2"/>
    </row>
    <row r="245" spans="1:25">
      <c r="A245" s="3" t="str">
        <f t="shared" si="33"/>
        <v/>
      </c>
      <c r="B245" s="3" t="str">
        <f t="shared" si="34"/>
        <v/>
      </c>
      <c r="C245" s="2"/>
      <c r="D245" s="2"/>
      <c r="E245" s="2"/>
      <c r="F245" s="2"/>
      <c r="G245" s="2"/>
      <c r="H245" s="2"/>
      <c r="I245" s="2"/>
      <c r="J245" s="2"/>
      <c r="K245" s="2"/>
      <c r="L245" s="3" t="str">
        <f>IF(B245&lt;&gt;"Closed","",IF(K245&gt;=M245,"Target",IF(K245&lt;=N245,"Stop",IF(R245&gt;=Settings!$B$4,"Time","Manual"))))</f>
        <v/>
      </c>
      <c r="M245" s="3" t="str">
        <f>IF(F245="","",F245*(1+Settings!$B$2))</f>
        <v/>
      </c>
      <c r="N245" s="3" t="str">
        <f>IF(F245="","",F245*(1-Settings!$B$3))</f>
        <v/>
      </c>
      <c r="O245" s="3" t="str">
        <f>IF(E245="","",E245+Settings!$B$4)</f>
        <v/>
      </c>
      <c r="P245" s="3" t="str">
        <f t="shared" si="35"/>
        <v/>
      </c>
      <c r="Q245" s="3" t="str">
        <f t="shared" si="36"/>
        <v/>
      </c>
      <c r="R245" s="3" t="str">
        <f t="shared" ca="1" si="37"/>
        <v/>
      </c>
      <c r="S245" s="3" t="str">
        <f t="shared" ca="1" si="38"/>
        <v/>
      </c>
      <c r="T245" s="3" t="str">
        <f t="shared" si="39"/>
        <v/>
      </c>
      <c r="U245" s="3" t="str">
        <f t="shared" si="40"/>
        <v/>
      </c>
      <c r="V245" s="3" t="str">
        <f t="shared" si="41"/>
        <v/>
      </c>
      <c r="W245" s="3" t="str">
        <f t="shared" ca="1" si="42"/>
        <v/>
      </c>
      <c r="X245" s="3" t="str">
        <f t="shared" ca="1" si="43"/>
        <v/>
      </c>
      <c r="Y245" s="2"/>
    </row>
    <row r="246" spans="1:25">
      <c r="A246" s="3" t="str">
        <f t="shared" si="33"/>
        <v/>
      </c>
      <c r="B246" s="3" t="str">
        <f t="shared" si="34"/>
        <v/>
      </c>
      <c r="C246" s="2"/>
      <c r="D246" s="2"/>
      <c r="E246" s="2"/>
      <c r="F246" s="2"/>
      <c r="G246" s="2"/>
      <c r="H246" s="2"/>
      <c r="I246" s="2"/>
      <c r="J246" s="2"/>
      <c r="K246" s="2"/>
      <c r="L246" s="3" t="str">
        <f>IF(B246&lt;&gt;"Closed","",IF(K246&gt;=M246,"Target",IF(K246&lt;=N246,"Stop",IF(R246&gt;=Settings!$B$4,"Time","Manual"))))</f>
        <v/>
      </c>
      <c r="M246" s="3" t="str">
        <f>IF(F246="","",F246*(1+Settings!$B$2))</f>
        <v/>
      </c>
      <c r="N246" s="3" t="str">
        <f>IF(F246="","",F246*(1-Settings!$B$3))</f>
        <v/>
      </c>
      <c r="O246" s="3" t="str">
        <f>IF(E246="","",E246+Settings!$B$4)</f>
        <v/>
      </c>
      <c r="P246" s="3" t="str">
        <f t="shared" si="35"/>
        <v/>
      </c>
      <c r="Q246" s="3" t="str">
        <f t="shared" si="36"/>
        <v/>
      </c>
      <c r="R246" s="3" t="str">
        <f t="shared" ca="1" si="37"/>
        <v/>
      </c>
      <c r="S246" s="3" t="str">
        <f t="shared" ca="1" si="38"/>
        <v/>
      </c>
      <c r="T246" s="3" t="str">
        <f t="shared" si="39"/>
        <v/>
      </c>
      <c r="U246" s="3" t="str">
        <f t="shared" si="40"/>
        <v/>
      </c>
      <c r="V246" s="3" t="str">
        <f t="shared" si="41"/>
        <v/>
      </c>
      <c r="W246" s="3" t="str">
        <f t="shared" ca="1" si="42"/>
        <v/>
      </c>
      <c r="X246" s="3" t="str">
        <f t="shared" ca="1" si="43"/>
        <v/>
      </c>
      <c r="Y246" s="2"/>
    </row>
    <row r="247" spans="1:25">
      <c r="A247" s="3" t="str">
        <f t="shared" si="33"/>
        <v/>
      </c>
      <c r="B247" s="3" t="str">
        <f t="shared" si="34"/>
        <v/>
      </c>
      <c r="C247" s="2"/>
      <c r="D247" s="2"/>
      <c r="E247" s="2"/>
      <c r="F247" s="2"/>
      <c r="G247" s="2"/>
      <c r="H247" s="2"/>
      <c r="I247" s="2"/>
      <c r="J247" s="2"/>
      <c r="K247" s="2"/>
      <c r="L247" s="3" t="str">
        <f>IF(B247&lt;&gt;"Closed","",IF(K247&gt;=M247,"Target",IF(K247&lt;=N247,"Stop",IF(R247&gt;=Settings!$B$4,"Time","Manual"))))</f>
        <v/>
      </c>
      <c r="M247" s="3" t="str">
        <f>IF(F247="","",F247*(1+Settings!$B$2))</f>
        <v/>
      </c>
      <c r="N247" s="3" t="str">
        <f>IF(F247="","",F247*(1-Settings!$B$3))</f>
        <v/>
      </c>
      <c r="O247" s="3" t="str">
        <f>IF(E247="","",E247+Settings!$B$4)</f>
        <v/>
      </c>
      <c r="P247" s="3" t="str">
        <f t="shared" si="35"/>
        <v/>
      </c>
      <c r="Q247" s="3" t="str">
        <f t="shared" si="36"/>
        <v/>
      </c>
      <c r="R247" s="3" t="str">
        <f t="shared" ca="1" si="37"/>
        <v/>
      </c>
      <c r="S247" s="3" t="str">
        <f t="shared" ca="1" si="38"/>
        <v/>
      </c>
      <c r="T247" s="3" t="str">
        <f t="shared" si="39"/>
        <v/>
      </c>
      <c r="U247" s="3" t="str">
        <f t="shared" si="40"/>
        <v/>
      </c>
      <c r="V247" s="3" t="str">
        <f t="shared" si="41"/>
        <v/>
      </c>
      <c r="W247" s="3" t="str">
        <f t="shared" ca="1" si="42"/>
        <v/>
      </c>
      <c r="X247" s="3" t="str">
        <f t="shared" ca="1" si="43"/>
        <v/>
      </c>
      <c r="Y247" s="2"/>
    </row>
    <row r="248" spans="1:25">
      <c r="A248" s="3" t="str">
        <f t="shared" si="33"/>
        <v/>
      </c>
      <c r="B248" s="3" t="str">
        <f t="shared" si="34"/>
        <v/>
      </c>
      <c r="C248" s="2"/>
      <c r="D248" s="2"/>
      <c r="E248" s="2"/>
      <c r="F248" s="2"/>
      <c r="G248" s="2"/>
      <c r="H248" s="2"/>
      <c r="I248" s="2"/>
      <c r="J248" s="2"/>
      <c r="K248" s="2"/>
      <c r="L248" s="3" t="str">
        <f>IF(B248&lt;&gt;"Closed","",IF(K248&gt;=M248,"Target",IF(K248&lt;=N248,"Stop",IF(R248&gt;=Settings!$B$4,"Time","Manual"))))</f>
        <v/>
      </c>
      <c r="M248" s="3" t="str">
        <f>IF(F248="","",F248*(1+Settings!$B$2))</f>
        <v/>
      </c>
      <c r="N248" s="3" t="str">
        <f>IF(F248="","",F248*(1-Settings!$B$3))</f>
        <v/>
      </c>
      <c r="O248" s="3" t="str">
        <f>IF(E248="","",E248+Settings!$B$4)</f>
        <v/>
      </c>
      <c r="P248" s="3" t="str">
        <f t="shared" si="35"/>
        <v/>
      </c>
      <c r="Q248" s="3" t="str">
        <f t="shared" si="36"/>
        <v/>
      </c>
      <c r="R248" s="3" t="str">
        <f t="shared" ca="1" si="37"/>
        <v/>
      </c>
      <c r="S248" s="3" t="str">
        <f t="shared" ca="1" si="38"/>
        <v/>
      </c>
      <c r="T248" s="3" t="str">
        <f t="shared" si="39"/>
        <v/>
      </c>
      <c r="U248" s="3" t="str">
        <f t="shared" si="40"/>
        <v/>
      </c>
      <c r="V248" s="3" t="str">
        <f t="shared" si="41"/>
        <v/>
      </c>
      <c r="W248" s="3" t="str">
        <f t="shared" ca="1" si="42"/>
        <v/>
      </c>
      <c r="X248" s="3" t="str">
        <f t="shared" ca="1" si="43"/>
        <v/>
      </c>
      <c r="Y248" s="2"/>
    </row>
    <row r="249" spans="1:25">
      <c r="A249" s="3" t="str">
        <f t="shared" si="33"/>
        <v/>
      </c>
      <c r="B249" s="3" t="str">
        <f t="shared" si="34"/>
        <v/>
      </c>
      <c r="C249" s="2"/>
      <c r="D249" s="2"/>
      <c r="E249" s="2"/>
      <c r="F249" s="2"/>
      <c r="G249" s="2"/>
      <c r="H249" s="2"/>
      <c r="I249" s="2"/>
      <c r="J249" s="2"/>
      <c r="K249" s="2"/>
      <c r="L249" s="3" t="str">
        <f>IF(B249&lt;&gt;"Closed","",IF(K249&gt;=M249,"Target",IF(K249&lt;=N249,"Stop",IF(R249&gt;=Settings!$B$4,"Time","Manual"))))</f>
        <v/>
      </c>
      <c r="M249" s="3" t="str">
        <f>IF(F249="","",F249*(1+Settings!$B$2))</f>
        <v/>
      </c>
      <c r="N249" s="3" t="str">
        <f>IF(F249="","",F249*(1-Settings!$B$3))</f>
        <v/>
      </c>
      <c r="O249" s="3" t="str">
        <f>IF(E249="","",E249+Settings!$B$4)</f>
        <v/>
      </c>
      <c r="P249" s="3" t="str">
        <f t="shared" si="35"/>
        <v/>
      </c>
      <c r="Q249" s="3" t="str">
        <f t="shared" si="36"/>
        <v/>
      </c>
      <c r="R249" s="3" t="str">
        <f t="shared" ca="1" si="37"/>
        <v/>
      </c>
      <c r="S249" s="3" t="str">
        <f t="shared" ca="1" si="38"/>
        <v/>
      </c>
      <c r="T249" s="3" t="str">
        <f t="shared" si="39"/>
        <v/>
      </c>
      <c r="U249" s="3" t="str">
        <f t="shared" si="40"/>
        <v/>
      </c>
      <c r="V249" s="3" t="str">
        <f t="shared" si="41"/>
        <v/>
      </c>
      <c r="W249" s="3" t="str">
        <f t="shared" ca="1" si="42"/>
        <v/>
      </c>
      <c r="X249" s="3" t="str">
        <f t="shared" ca="1" si="43"/>
        <v/>
      </c>
      <c r="Y249" s="2"/>
    </row>
    <row r="250" spans="1:25">
      <c r="A250" s="3" t="str">
        <f t="shared" si="33"/>
        <v/>
      </c>
      <c r="B250" s="3" t="str">
        <f t="shared" si="34"/>
        <v/>
      </c>
      <c r="C250" s="2"/>
      <c r="D250" s="2"/>
      <c r="E250" s="2"/>
      <c r="F250" s="2"/>
      <c r="G250" s="2"/>
      <c r="H250" s="2"/>
      <c r="I250" s="2"/>
      <c r="J250" s="2"/>
      <c r="K250" s="2"/>
      <c r="L250" s="3" t="str">
        <f>IF(B250&lt;&gt;"Closed","",IF(K250&gt;=M250,"Target",IF(K250&lt;=N250,"Stop",IF(R250&gt;=Settings!$B$4,"Time","Manual"))))</f>
        <v/>
      </c>
      <c r="M250" s="3" t="str">
        <f>IF(F250="","",F250*(1+Settings!$B$2))</f>
        <v/>
      </c>
      <c r="N250" s="3" t="str">
        <f>IF(F250="","",F250*(1-Settings!$B$3))</f>
        <v/>
      </c>
      <c r="O250" s="3" t="str">
        <f>IF(E250="","",E250+Settings!$B$4)</f>
        <v/>
      </c>
      <c r="P250" s="3" t="str">
        <f t="shared" si="35"/>
        <v/>
      </c>
      <c r="Q250" s="3" t="str">
        <f t="shared" si="36"/>
        <v/>
      </c>
      <c r="R250" s="3" t="str">
        <f t="shared" ca="1" si="37"/>
        <v/>
      </c>
      <c r="S250" s="3" t="str">
        <f t="shared" ca="1" si="38"/>
        <v/>
      </c>
      <c r="T250" s="3" t="str">
        <f t="shared" si="39"/>
        <v/>
      </c>
      <c r="U250" s="3" t="str">
        <f t="shared" si="40"/>
        <v/>
      </c>
      <c r="V250" s="3" t="str">
        <f t="shared" si="41"/>
        <v/>
      </c>
      <c r="W250" s="3" t="str">
        <f t="shared" ca="1" si="42"/>
        <v/>
      </c>
      <c r="X250" s="3" t="str">
        <f t="shared" ca="1" si="43"/>
        <v/>
      </c>
      <c r="Y250" s="2"/>
    </row>
    <row r="251" spans="1:25">
      <c r="A251" s="3" t="str">
        <f t="shared" si="33"/>
        <v/>
      </c>
      <c r="B251" s="3" t="str">
        <f t="shared" si="34"/>
        <v/>
      </c>
      <c r="C251" s="2"/>
      <c r="D251" s="2"/>
      <c r="E251" s="2"/>
      <c r="F251" s="2"/>
      <c r="G251" s="2"/>
      <c r="H251" s="2"/>
      <c r="I251" s="2"/>
      <c r="J251" s="2"/>
      <c r="K251" s="2"/>
      <c r="L251" s="3" t="str">
        <f>IF(B251&lt;&gt;"Closed","",IF(K251&gt;=M251,"Target",IF(K251&lt;=N251,"Stop",IF(R251&gt;=Settings!$B$4,"Time","Manual"))))</f>
        <v/>
      </c>
      <c r="M251" s="3" t="str">
        <f>IF(F251="","",F251*(1+Settings!$B$2))</f>
        <v/>
      </c>
      <c r="N251" s="3" t="str">
        <f>IF(F251="","",F251*(1-Settings!$B$3))</f>
        <v/>
      </c>
      <c r="O251" s="3" t="str">
        <f>IF(E251="","",E251+Settings!$B$4)</f>
        <v/>
      </c>
      <c r="P251" s="3" t="str">
        <f t="shared" si="35"/>
        <v/>
      </c>
      <c r="Q251" s="3" t="str">
        <f t="shared" si="36"/>
        <v/>
      </c>
      <c r="R251" s="3" t="str">
        <f t="shared" ca="1" si="37"/>
        <v/>
      </c>
      <c r="S251" s="3" t="str">
        <f t="shared" ca="1" si="38"/>
        <v/>
      </c>
      <c r="T251" s="3" t="str">
        <f t="shared" si="39"/>
        <v/>
      </c>
      <c r="U251" s="3" t="str">
        <f t="shared" si="40"/>
        <v/>
      </c>
      <c r="V251" s="3" t="str">
        <f t="shared" si="41"/>
        <v/>
      </c>
      <c r="W251" s="3" t="str">
        <f t="shared" ca="1" si="42"/>
        <v/>
      </c>
      <c r="X251" s="3" t="str">
        <f t="shared" ca="1" si="43"/>
        <v/>
      </c>
      <c r="Y251" s="2"/>
    </row>
    <row r="252" spans="1:25">
      <c r="A252" s="3" t="str">
        <f t="shared" si="33"/>
        <v/>
      </c>
      <c r="B252" s="3" t="str">
        <f t="shared" si="34"/>
        <v/>
      </c>
      <c r="C252" s="2"/>
      <c r="D252" s="2"/>
      <c r="E252" s="2"/>
      <c r="F252" s="2"/>
      <c r="G252" s="2"/>
      <c r="H252" s="2"/>
      <c r="I252" s="2"/>
      <c r="J252" s="2"/>
      <c r="K252" s="2"/>
      <c r="L252" s="3" t="str">
        <f>IF(B252&lt;&gt;"Closed","",IF(K252&gt;=M252,"Target",IF(K252&lt;=N252,"Stop",IF(R252&gt;=Settings!$B$4,"Time","Manual"))))</f>
        <v/>
      </c>
      <c r="M252" s="3" t="str">
        <f>IF(F252="","",F252*(1+Settings!$B$2))</f>
        <v/>
      </c>
      <c r="N252" s="3" t="str">
        <f>IF(F252="","",F252*(1-Settings!$B$3))</f>
        <v/>
      </c>
      <c r="O252" s="3" t="str">
        <f>IF(E252="","",E252+Settings!$B$4)</f>
        <v/>
      </c>
      <c r="P252" s="3" t="str">
        <f t="shared" si="35"/>
        <v/>
      </c>
      <c r="Q252" s="3" t="str">
        <f t="shared" si="36"/>
        <v/>
      </c>
      <c r="R252" s="3" t="str">
        <f t="shared" ca="1" si="37"/>
        <v/>
      </c>
      <c r="S252" s="3" t="str">
        <f t="shared" ca="1" si="38"/>
        <v/>
      </c>
      <c r="T252" s="3" t="str">
        <f t="shared" si="39"/>
        <v/>
      </c>
      <c r="U252" s="3" t="str">
        <f t="shared" si="40"/>
        <v/>
      </c>
      <c r="V252" s="3" t="str">
        <f t="shared" si="41"/>
        <v/>
      </c>
      <c r="W252" s="3" t="str">
        <f t="shared" ca="1" si="42"/>
        <v/>
      </c>
      <c r="X252" s="3" t="str">
        <f t="shared" ca="1" si="43"/>
        <v/>
      </c>
      <c r="Y252" s="2"/>
    </row>
    <row r="253" spans="1:25">
      <c r="A253" s="3" t="str">
        <f t="shared" si="33"/>
        <v/>
      </c>
      <c r="B253" s="3" t="str">
        <f t="shared" si="34"/>
        <v/>
      </c>
      <c r="C253" s="2"/>
      <c r="D253" s="2"/>
      <c r="E253" s="2"/>
      <c r="F253" s="2"/>
      <c r="G253" s="2"/>
      <c r="H253" s="2"/>
      <c r="I253" s="2"/>
      <c r="J253" s="2"/>
      <c r="K253" s="2"/>
      <c r="L253" s="3" t="str">
        <f>IF(B253&lt;&gt;"Closed","",IF(K253&gt;=M253,"Target",IF(K253&lt;=N253,"Stop",IF(R253&gt;=Settings!$B$4,"Time","Manual"))))</f>
        <v/>
      </c>
      <c r="M253" s="3" t="str">
        <f>IF(F253="","",F253*(1+Settings!$B$2))</f>
        <v/>
      </c>
      <c r="N253" s="3" t="str">
        <f>IF(F253="","",F253*(1-Settings!$B$3))</f>
        <v/>
      </c>
      <c r="O253" s="3" t="str">
        <f>IF(E253="","",E253+Settings!$B$4)</f>
        <v/>
      </c>
      <c r="P253" s="3" t="str">
        <f t="shared" si="35"/>
        <v/>
      </c>
      <c r="Q253" s="3" t="str">
        <f t="shared" si="36"/>
        <v/>
      </c>
      <c r="R253" s="3" t="str">
        <f t="shared" ca="1" si="37"/>
        <v/>
      </c>
      <c r="S253" s="3" t="str">
        <f t="shared" ca="1" si="38"/>
        <v/>
      </c>
      <c r="T253" s="3" t="str">
        <f t="shared" si="39"/>
        <v/>
      </c>
      <c r="U253" s="3" t="str">
        <f t="shared" si="40"/>
        <v/>
      </c>
      <c r="V253" s="3" t="str">
        <f t="shared" si="41"/>
        <v/>
      </c>
      <c r="W253" s="3" t="str">
        <f t="shared" ca="1" si="42"/>
        <v/>
      </c>
      <c r="X253" s="3" t="str">
        <f t="shared" ca="1" si="43"/>
        <v/>
      </c>
      <c r="Y253" s="2"/>
    </row>
    <row r="254" spans="1:25">
      <c r="A254" s="3" t="str">
        <f t="shared" si="33"/>
        <v/>
      </c>
      <c r="B254" s="3" t="str">
        <f t="shared" si="34"/>
        <v/>
      </c>
      <c r="C254" s="2"/>
      <c r="D254" s="2"/>
      <c r="E254" s="2"/>
      <c r="F254" s="2"/>
      <c r="G254" s="2"/>
      <c r="H254" s="2"/>
      <c r="I254" s="2"/>
      <c r="J254" s="2"/>
      <c r="K254" s="2"/>
      <c r="L254" s="3" t="str">
        <f>IF(B254&lt;&gt;"Closed","",IF(K254&gt;=M254,"Target",IF(K254&lt;=N254,"Stop",IF(R254&gt;=Settings!$B$4,"Time","Manual"))))</f>
        <v/>
      </c>
      <c r="M254" s="3" t="str">
        <f>IF(F254="","",F254*(1+Settings!$B$2))</f>
        <v/>
      </c>
      <c r="N254" s="3" t="str">
        <f>IF(F254="","",F254*(1-Settings!$B$3))</f>
        <v/>
      </c>
      <c r="O254" s="3" t="str">
        <f>IF(E254="","",E254+Settings!$B$4)</f>
        <v/>
      </c>
      <c r="P254" s="3" t="str">
        <f t="shared" si="35"/>
        <v/>
      </c>
      <c r="Q254" s="3" t="str">
        <f t="shared" si="36"/>
        <v/>
      </c>
      <c r="R254" s="3" t="str">
        <f t="shared" ca="1" si="37"/>
        <v/>
      </c>
      <c r="S254" s="3" t="str">
        <f t="shared" ca="1" si="38"/>
        <v/>
      </c>
      <c r="T254" s="3" t="str">
        <f t="shared" si="39"/>
        <v/>
      </c>
      <c r="U254" s="3" t="str">
        <f t="shared" si="40"/>
        <v/>
      </c>
      <c r="V254" s="3" t="str">
        <f t="shared" si="41"/>
        <v/>
      </c>
      <c r="W254" s="3" t="str">
        <f t="shared" ca="1" si="42"/>
        <v/>
      </c>
      <c r="X254" s="3" t="str">
        <f t="shared" ca="1" si="43"/>
        <v/>
      </c>
      <c r="Y254" s="2"/>
    </row>
    <row r="255" spans="1:25">
      <c r="A255" s="3" t="str">
        <f t="shared" si="33"/>
        <v/>
      </c>
      <c r="B255" s="3" t="str">
        <f t="shared" si="34"/>
        <v/>
      </c>
      <c r="C255" s="2"/>
      <c r="D255" s="2"/>
      <c r="E255" s="2"/>
      <c r="F255" s="2"/>
      <c r="G255" s="2"/>
      <c r="H255" s="2"/>
      <c r="I255" s="2"/>
      <c r="J255" s="2"/>
      <c r="K255" s="2"/>
      <c r="L255" s="3" t="str">
        <f>IF(B255&lt;&gt;"Closed","",IF(K255&gt;=M255,"Target",IF(K255&lt;=N255,"Stop",IF(R255&gt;=Settings!$B$4,"Time","Manual"))))</f>
        <v/>
      </c>
      <c r="M255" s="3" t="str">
        <f>IF(F255="","",F255*(1+Settings!$B$2))</f>
        <v/>
      </c>
      <c r="N255" s="3" t="str">
        <f>IF(F255="","",F255*(1-Settings!$B$3))</f>
        <v/>
      </c>
      <c r="O255" s="3" t="str">
        <f>IF(E255="","",E255+Settings!$B$4)</f>
        <v/>
      </c>
      <c r="P255" s="3" t="str">
        <f t="shared" si="35"/>
        <v/>
      </c>
      <c r="Q255" s="3" t="str">
        <f t="shared" si="36"/>
        <v/>
      </c>
      <c r="R255" s="3" t="str">
        <f t="shared" ca="1" si="37"/>
        <v/>
      </c>
      <c r="S255" s="3" t="str">
        <f t="shared" ca="1" si="38"/>
        <v/>
      </c>
      <c r="T255" s="3" t="str">
        <f t="shared" si="39"/>
        <v/>
      </c>
      <c r="U255" s="3" t="str">
        <f t="shared" si="40"/>
        <v/>
      </c>
      <c r="V255" s="3" t="str">
        <f t="shared" si="41"/>
        <v/>
      </c>
      <c r="W255" s="3" t="str">
        <f t="shared" ca="1" si="42"/>
        <v/>
      </c>
      <c r="X255" s="3" t="str">
        <f t="shared" ca="1" si="43"/>
        <v/>
      </c>
      <c r="Y255" s="2"/>
    </row>
    <row r="256" spans="1:25">
      <c r="A256" s="3" t="str">
        <f t="shared" si="33"/>
        <v/>
      </c>
      <c r="B256" s="3" t="str">
        <f t="shared" si="34"/>
        <v/>
      </c>
      <c r="C256" s="2"/>
      <c r="D256" s="2"/>
      <c r="E256" s="2"/>
      <c r="F256" s="2"/>
      <c r="G256" s="2"/>
      <c r="H256" s="2"/>
      <c r="I256" s="2"/>
      <c r="J256" s="2"/>
      <c r="K256" s="2"/>
      <c r="L256" s="3" t="str">
        <f>IF(B256&lt;&gt;"Closed","",IF(K256&gt;=M256,"Target",IF(K256&lt;=N256,"Stop",IF(R256&gt;=Settings!$B$4,"Time","Manual"))))</f>
        <v/>
      </c>
      <c r="M256" s="3" t="str">
        <f>IF(F256="","",F256*(1+Settings!$B$2))</f>
        <v/>
      </c>
      <c r="N256" s="3" t="str">
        <f>IF(F256="","",F256*(1-Settings!$B$3))</f>
        <v/>
      </c>
      <c r="O256" s="3" t="str">
        <f>IF(E256="","",E256+Settings!$B$4)</f>
        <v/>
      </c>
      <c r="P256" s="3" t="str">
        <f t="shared" si="35"/>
        <v/>
      </c>
      <c r="Q256" s="3" t="str">
        <f t="shared" si="36"/>
        <v/>
      </c>
      <c r="R256" s="3" t="str">
        <f t="shared" ca="1" si="37"/>
        <v/>
      </c>
      <c r="S256" s="3" t="str">
        <f t="shared" ca="1" si="38"/>
        <v/>
      </c>
      <c r="T256" s="3" t="str">
        <f t="shared" si="39"/>
        <v/>
      </c>
      <c r="U256" s="3" t="str">
        <f t="shared" si="40"/>
        <v/>
      </c>
      <c r="V256" s="3" t="str">
        <f t="shared" si="41"/>
        <v/>
      </c>
      <c r="W256" s="3" t="str">
        <f t="shared" ca="1" si="42"/>
        <v/>
      </c>
      <c r="X256" s="3" t="str">
        <f t="shared" ca="1" si="43"/>
        <v/>
      </c>
      <c r="Y256" s="2"/>
    </row>
    <row r="257" spans="1:25">
      <c r="A257" s="3" t="str">
        <f t="shared" si="33"/>
        <v/>
      </c>
      <c r="B257" s="3" t="str">
        <f t="shared" si="34"/>
        <v/>
      </c>
      <c r="C257" s="2"/>
      <c r="D257" s="2"/>
      <c r="E257" s="2"/>
      <c r="F257" s="2"/>
      <c r="G257" s="2"/>
      <c r="H257" s="2"/>
      <c r="I257" s="2"/>
      <c r="J257" s="2"/>
      <c r="K257" s="2"/>
      <c r="L257" s="3" t="str">
        <f>IF(B257&lt;&gt;"Closed","",IF(K257&gt;=M257,"Target",IF(K257&lt;=N257,"Stop",IF(R257&gt;=Settings!$B$4,"Time","Manual"))))</f>
        <v/>
      </c>
      <c r="M257" s="3" t="str">
        <f>IF(F257="","",F257*(1+Settings!$B$2))</f>
        <v/>
      </c>
      <c r="N257" s="3" t="str">
        <f>IF(F257="","",F257*(1-Settings!$B$3))</f>
        <v/>
      </c>
      <c r="O257" s="3" t="str">
        <f>IF(E257="","",E257+Settings!$B$4)</f>
        <v/>
      </c>
      <c r="P257" s="3" t="str">
        <f t="shared" si="35"/>
        <v/>
      </c>
      <c r="Q257" s="3" t="str">
        <f t="shared" si="36"/>
        <v/>
      </c>
      <c r="R257" s="3" t="str">
        <f t="shared" ca="1" si="37"/>
        <v/>
      </c>
      <c r="S257" s="3" t="str">
        <f t="shared" ca="1" si="38"/>
        <v/>
      </c>
      <c r="T257" s="3" t="str">
        <f t="shared" si="39"/>
        <v/>
      </c>
      <c r="U257" s="3" t="str">
        <f t="shared" si="40"/>
        <v/>
      </c>
      <c r="V257" s="3" t="str">
        <f t="shared" si="41"/>
        <v/>
      </c>
      <c r="W257" s="3" t="str">
        <f t="shared" ca="1" si="42"/>
        <v/>
      </c>
      <c r="X257" s="3" t="str">
        <f t="shared" ca="1" si="43"/>
        <v/>
      </c>
      <c r="Y257" s="2"/>
    </row>
    <row r="258" spans="1:25">
      <c r="A258" s="3" t="str">
        <f t="shared" ref="A258:A301" si="44">IF(C258="","",ROW()-1)</f>
        <v/>
      </c>
      <c r="B258" s="3" t="str">
        <f t="shared" ref="B258:B321" si="45">IF(AND(J258&lt;&gt;"",K258&lt;&gt;""),"Closed",IF(AND(C258&lt;&gt;"",E258&lt;&gt;"",F258&lt;&gt;""),"Open",""))</f>
        <v/>
      </c>
      <c r="C258" s="2"/>
      <c r="D258" s="2"/>
      <c r="E258" s="2"/>
      <c r="F258" s="2"/>
      <c r="G258" s="2"/>
      <c r="H258" s="2"/>
      <c r="I258" s="2"/>
      <c r="J258" s="2"/>
      <c r="K258" s="2"/>
      <c r="L258" s="3" t="str">
        <f>IF(B258&lt;&gt;"Closed","",IF(K258&gt;=M258,"Target",IF(K258&lt;=N258,"Stop",IF(R258&gt;=Settings!$B$4,"Time","Manual"))))</f>
        <v/>
      </c>
      <c r="M258" s="3" t="str">
        <f>IF(F258="","",F258*(1+Settings!$B$2))</f>
        <v/>
      </c>
      <c r="N258" s="3" t="str">
        <f>IF(F258="","",F258*(1-Settings!$B$3))</f>
        <v/>
      </c>
      <c r="O258" s="3" t="str">
        <f>IF(E258="","",E258+Settings!$B$4)</f>
        <v/>
      </c>
      <c r="P258" s="3" t="str">
        <f t="shared" ref="P258:P301" si="46">IF(B258="","",IF(B258="Closed",K258,IF(H258="","",H258)))</f>
        <v/>
      </c>
      <c r="Q258" s="3" t="str">
        <f t="shared" ref="Q258:Q321" si="47">IF(OR(B258="",F258="",P258=""),"",P258/F258-1)</f>
        <v/>
      </c>
      <c r="R258" s="3" t="str">
        <f t="shared" ref="R258:R301" ca="1" si="48">IF(E258="","",IF(B258="Closed",J258-E258,TODAY()-E258))</f>
        <v/>
      </c>
      <c r="S258" s="3" t="str">
        <f t="shared" ref="S258:S301" ca="1" si="49">IF(I258="","",TODAY()-I258)</f>
        <v/>
      </c>
      <c r="T258" s="3" t="str">
        <f t="shared" ref="T258:T301" si="50">IF(OR(F258="",G258=""),"",F258*G258)</f>
        <v/>
      </c>
      <c r="U258" s="3" t="str">
        <f t="shared" ref="U258:U301" si="51">IF(OR(B258="",P258="",G258=""),"",P258*G258)</f>
        <v/>
      </c>
      <c r="V258" s="3" t="str">
        <f t="shared" ref="V258:V301" si="52">IF(OR(B258="",P258="",F258="",G258=""),"",(P258-F258)*G258)</f>
        <v/>
      </c>
      <c r="W258" s="3" t="str">
        <f t="shared" ref="W258:W301" ca="1" si="53">IF(B258="Closed","CLOSED",IF(B258&lt;&gt;"Open","",IF(H258="","ENTER CURRENT PRICE",IF(H258&gt;=M258,"SELL - TARGET",IF(H258&lt;=N258,"SELL - STOP",IF(TODAY()&gt;=O258,"SELL - TIME","HOLD"))))))</f>
        <v/>
      </c>
      <c r="X258" s="3" t="str">
        <f t="shared" ref="X258:X321" ca="1" si="54">IF(W258="","",IF(W258="HOLD","Monitor",IF(W258="ENTER CURRENT PRICE","Update price",IF(W258="CLOSED","No action","Review / sell"))))</f>
        <v/>
      </c>
      <c r="Y258" s="2"/>
    </row>
    <row r="259" spans="1:25">
      <c r="A259" s="3" t="str">
        <f t="shared" si="44"/>
        <v/>
      </c>
      <c r="B259" s="3" t="str">
        <f t="shared" si="45"/>
        <v/>
      </c>
      <c r="C259" s="2"/>
      <c r="D259" s="2"/>
      <c r="E259" s="2"/>
      <c r="F259" s="2"/>
      <c r="G259" s="2"/>
      <c r="H259" s="2"/>
      <c r="I259" s="2"/>
      <c r="J259" s="2"/>
      <c r="K259" s="2"/>
      <c r="L259" s="3" t="str">
        <f>IF(B259&lt;&gt;"Closed","",IF(K259&gt;=M259,"Target",IF(K259&lt;=N259,"Stop",IF(R259&gt;=Settings!$B$4,"Time","Manual"))))</f>
        <v/>
      </c>
      <c r="M259" s="3" t="str">
        <f>IF(F259="","",F259*(1+Settings!$B$2))</f>
        <v/>
      </c>
      <c r="N259" s="3" t="str">
        <f>IF(F259="","",F259*(1-Settings!$B$3))</f>
        <v/>
      </c>
      <c r="O259" s="3" t="str">
        <f>IF(E259="","",E259+Settings!$B$4)</f>
        <v/>
      </c>
      <c r="P259" s="3" t="str">
        <f t="shared" si="46"/>
        <v/>
      </c>
      <c r="Q259" s="3" t="str">
        <f t="shared" si="47"/>
        <v/>
      </c>
      <c r="R259" s="3" t="str">
        <f t="shared" ca="1" si="48"/>
        <v/>
      </c>
      <c r="S259" s="3" t="str">
        <f t="shared" ca="1" si="49"/>
        <v/>
      </c>
      <c r="T259" s="3" t="str">
        <f t="shared" si="50"/>
        <v/>
      </c>
      <c r="U259" s="3" t="str">
        <f t="shared" si="51"/>
        <v/>
      </c>
      <c r="V259" s="3" t="str">
        <f t="shared" si="52"/>
        <v/>
      </c>
      <c r="W259" s="3" t="str">
        <f t="shared" ca="1" si="53"/>
        <v/>
      </c>
      <c r="X259" s="3" t="str">
        <f t="shared" ca="1" si="54"/>
        <v/>
      </c>
      <c r="Y259" s="2"/>
    </row>
    <row r="260" spans="1:25">
      <c r="A260" s="3" t="str">
        <f t="shared" si="44"/>
        <v/>
      </c>
      <c r="B260" s="3" t="str">
        <f t="shared" si="45"/>
        <v/>
      </c>
      <c r="C260" s="2"/>
      <c r="D260" s="2"/>
      <c r="E260" s="2"/>
      <c r="F260" s="2"/>
      <c r="G260" s="2"/>
      <c r="H260" s="2"/>
      <c r="I260" s="2"/>
      <c r="J260" s="2"/>
      <c r="K260" s="2"/>
      <c r="L260" s="3" t="str">
        <f>IF(B260&lt;&gt;"Closed","",IF(K260&gt;=M260,"Target",IF(K260&lt;=N260,"Stop",IF(R260&gt;=Settings!$B$4,"Time","Manual"))))</f>
        <v/>
      </c>
      <c r="M260" s="3" t="str">
        <f>IF(F260="","",F260*(1+Settings!$B$2))</f>
        <v/>
      </c>
      <c r="N260" s="3" t="str">
        <f>IF(F260="","",F260*(1-Settings!$B$3))</f>
        <v/>
      </c>
      <c r="O260" s="3" t="str">
        <f>IF(E260="","",E260+Settings!$B$4)</f>
        <v/>
      </c>
      <c r="P260" s="3" t="str">
        <f t="shared" si="46"/>
        <v/>
      </c>
      <c r="Q260" s="3" t="str">
        <f t="shared" si="47"/>
        <v/>
      </c>
      <c r="R260" s="3" t="str">
        <f t="shared" ca="1" si="48"/>
        <v/>
      </c>
      <c r="S260" s="3" t="str">
        <f t="shared" ca="1" si="49"/>
        <v/>
      </c>
      <c r="T260" s="3" t="str">
        <f t="shared" si="50"/>
        <v/>
      </c>
      <c r="U260" s="3" t="str">
        <f t="shared" si="51"/>
        <v/>
      </c>
      <c r="V260" s="3" t="str">
        <f t="shared" si="52"/>
        <v/>
      </c>
      <c r="W260" s="3" t="str">
        <f t="shared" ca="1" si="53"/>
        <v/>
      </c>
      <c r="X260" s="3" t="str">
        <f t="shared" ca="1" si="54"/>
        <v/>
      </c>
      <c r="Y260" s="2"/>
    </row>
    <row r="261" spans="1:25">
      <c r="A261" s="3" t="str">
        <f t="shared" si="44"/>
        <v/>
      </c>
      <c r="B261" s="3" t="str">
        <f t="shared" si="45"/>
        <v/>
      </c>
      <c r="C261" s="2"/>
      <c r="D261" s="2"/>
      <c r="E261" s="2"/>
      <c r="F261" s="2"/>
      <c r="G261" s="2"/>
      <c r="H261" s="2"/>
      <c r="I261" s="2"/>
      <c r="J261" s="2"/>
      <c r="K261" s="2"/>
      <c r="L261" s="3" t="str">
        <f>IF(B261&lt;&gt;"Closed","",IF(K261&gt;=M261,"Target",IF(K261&lt;=N261,"Stop",IF(R261&gt;=Settings!$B$4,"Time","Manual"))))</f>
        <v/>
      </c>
      <c r="M261" s="3" t="str">
        <f>IF(F261="","",F261*(1+Settings!$B$2))</f>
        <v/>
      </c>
      <c r="N261" s="3" t="str">
        <f>IF(F261="","",F261*(1-Settings!$B$3))</f>
        <v/>
      </c>
      <c r="O261" s="3" t="str">
        <f>IF(E261="","",E261+Settings!$B$4)</f>
        <v/>
      </c>
      <c r="P261" s="3" t="str">
        <f t="shared" si="46"/>
        <v/>
      </c>
      <c r="Q261" s="3" t="str">
        <f t="shared" si="47"/>
        <v/>
      </c>
      <c r="R261" s="3" t="str">
        <f t="shared" ca="1" si="48"/>
        <v/>
      </c>
      <c r="S261" s="3" t="str">
        <f t="shared" ca="1" si="49"/>
        <v/>
      </c>
      <c r="T261" s="3" t="str">
        <f t="shared" si="50"/>
        <v/>
      </c>
      <c r="U261" s="3" t="str">
        <f t="shared" si="51"/>
        <v/>
      </c>
      <c r="V261" s="3" t="str">
        <f t="shared" si="52"/>
        <v/>
      </c>
      <c r="W261" s="3" t="str">
        <f t="shared" ca="1" si="53"/>
        <v/>
      </c>
      <c r="X261" s="3" t="str">
        <f t="shared" ca="1" si="54"/>
        <v/>
      </c>
      <c r="Y261" s="2"/>
    </row>
    <row r="262" spans="1:25">
      <c r="A262" s="3" t="str">
        <f t="shared" si="44"/>
        <v/>
      </c>
      <c r="B262" s="3" t="str">
        <f t="shared" si="45"/>
        <v/>
      </c>
      <c r="C262" s="2"/>
      <c r="D262" s="2"/>
      <c r="E262" s="2"/>
      <c r="F262" s="2"/>
      <c r="G262" s="2"/>
      <c r="H262" s="2"/>
      <c r="I262" s="2"/>
      <c r="J262" s="2"/>
      <c r="K262" s="2"/>
      <c r="L262" s="3" t="str">
        <f>IF(B262&lt;&gt;"Closed","",IF(K262&gt;=M262,"Target",IF(K262&lt;=N262,"Stop",IF(R262&gt;=Settings!$B$4,"Time","Manual"))))</f>
        <v/>
      </c>
      <c r="M262" s="3" t="str">
        <f>IF(F262="","",F262*(1+Settings!$B$2))</f>
        <v/>
      </c>
      <c r="N262" s="3" t="str">
        <f>IF(F262="","",F262*(1-Settings!$B$3))</f>
        <v/>
      </c>
      <c r="O262" s="3" t="str">
        <f>IF(E262="","",E262+Settings!$B$4)</f>
        <v/>
      </c>
      <c r="P262" s="3" t="str">
        <f t="shared" si="46"/>
        <v/>
      </c>
      <c r="Q262" s="3" t="str">
        <f t="shared" si="47"/>
        <v/>
      </c>
      <c r="R262" s="3" t="str">
        <f t="shared" ca="1" si="48"/>
        <v/>
      </c>
      <c r="S262" s="3" t="str">
        <f t="shared" ca="1" si="49"/>
        <v/>
      </c>
      <c r="T262" s="3" t="str">
        <f t="shared" si="50"/>
        <v/>
      </c>
      <c r="U262" s="3" t="str">
        <f t="shared" si="51"/>
        <v/>
      </c>
      <c r="V262" s="3" t="str">
        <f t="shared" si="52"/>
        <v/>
      </c>
      <c r="W262" s="3" t="str">
        <f t="shared" ca="1" si="53"/>
        <v/>
      </c>
      <c r="X262" s="3" t="str">
        <f t="shared" ca="1" si="54"/>
        <v/>
      </c>
      <c r="Y262" s="2"/>
    </row>
    <row r="263" spans="1:25">
      <c r="A263" s="3" t="str">
        <f t="shared" si="44"/>
        <v/>
      </c>
      <c r="B263" s="3" t="str">
        <f t="shared" si="45"/>
        <v/>
      </c>
      <c r="C263" s="2"/>
      <c r="D263" s="2"/>
      <c r="E263" s="2"/>
      <c r="F263" s="2"/>
      <c r="G263" s="2"/>
      <c r="H263" s="2"/>
      <c r="I263" s="2"/>
      <c r="J263" s="2"/>
      <c r="K263" s="2"/>
      <c r="L263" s="3" t="str">
        <f>IF(B263&lt;&gt;"Closed","",IF(K263&gt;=M263,"Target",IF(K263&lt;=N263,"Stop",IF(R263&gt;=Settings!$B$4,"Time","Manual"))))</f>
        <v/>
      </c>
      <c r="M263" s="3" t="str">
        <f>IF(F263="","",F263*(1+Settings!$B$2))</f>
        <v/>
      </c>
      <c r="N263" s="3" t="str">
        <f>IF(F263="","",F263*(1-Settings!$B$3))</f>
        <v/>
      </c>
      <c r="O263" s="3" t="str">
        <f>IF(E263="","",E263+Settings!$B$4)</f>
        <v/>
      </c>
      <c r="P263" s="3" t="str">
        <f t="shared" si="46"/>
        <v/>
      </c>
      <c r="Q263" s="3" t="str">
        <f t="shared" si="47"/>
        <v/>
      </c>
      <c r="R263" s="3" t="str">
        <f t="shared" ca="1" si="48"/>
        <v/>
      </c>
      <c r="S263" s="3" t="str">
        <f t="shared" ca="1" si="49"/>
        <v/>
      </c>
      <c r="T263" s="3" t="str">
        <f t="shared" si="50"/>
        <v/>
      </c>
      <c r="U263" s="3" t="str">
        <f t="shared" si="51"/>
        <v/>
      </c>
      <c r="V263" s="3" t="str">
        <f t="shared" si="52"/>
        <v/>
      </c>
      <c r="W263" s="3" t="str">
        <f t="shared" ca="1" si="53"/>
        <v/>
      </c>
      <c r="X263" s="3" t="str">
        <f t="shared" ca="1" si="54"/>
        <v/>
      </c>
      <c r="Y263" s="2"/>
    </row>
    <row r="264" spans="1:25">
      <c r="A264" s="3" t="str">
        <f t="shared" si="44"/>
        <v/>
      </c>
      <c r="B264" s="3" t="str">
        <f t="shared" si="45"/>
        <v/>
      </c>
      <c r="C264" s="2"/>
      <c r="D264" s="2"/>
      <c r="E264" s="2"/>
      <c r="F264" s="2"/>
      <c r="G264" s="2"/>
      <c r="H264" s="2"/>
      <c r="I264" s="2"/>
      <c r="J264" s="2"/>
      <c r="K264" s="2"/>
      <c r="L264" s="3" t="str">
        <f>IF(B264&lt;&gt;"Closed","",IF(K264&gt;=M264,"Target",IF(K264&lt;=N264,"Stop",IF(R264&gt;=Settings!$B$4,"Time","Manual"))))</f>
        <v/>
      </c>
      <c r="M264" s="3" t="str">
        <f>IF(F264="","",F264*(1+Settings!$B$2))</f>
        <v/>
      </c>
      <c r="N264" s="3" t="str">
        <f>IF(F264="","",F264*(1-Settings!$B$3))</f>
        <v/>
      </c>
      <c r="O264" s="3" t="str">
        <f>IF(E264="","",E264+Settings!$B$4)</f>
        <v/>
      </c>
      <c r="P264" s="3" t="str">
        <f t="shared" si="46"/>
        <v/>
      </c>
      <c r="Q264" s="3" t="str">
        <f t="shared" si="47"/>
        <v/>
      </c>
      <c r="R264" s="3" t="str">
        <f t="shared" ca="1" si="48"/>
        <v/>
      </c>
      <c r="S264" s="3" t="str">
        <f t="shared" ca="1" si="49"/>
        <v/>
      </c>
      <c r="T264" s="3" t="str">
        <f t="shared" si="50"/>
        <v/>
      </c>
      <c r="U264" s="3" t="str">
        <f t="shared" si="51"/>
        <v/>
      </c>
      <c r="V264" s="3" t="str">
        <f t="shared" si="52"/>
        <v/>
      </c>
      <c r="W264" s="3" t="str">
        <f t="shared" ca="1" si="53"/>
        <v/>
      </c>
      <c r="X264" s="3" t="str">
        <f t="shared" ca="1" si="54"/>
        <v/>
      </c>
      <c r="Y264" s="2"/>
    </row>
    <row r="265" spans="1:25">
      <c r="A265" s="3" t="str">
        <f t="shared" si="44"/>
        <v/>
      </c>
      <c r="B265" s="3" t="str">
        <f t="shared" si="45"/>
        <v/>
      </c>
      <c r="C265" s="2"/>
      <c r="D265" s="2"/>
      <c r="E265" s="2"/>
      <c r="F265" s="2"/>
      <c r="G265" s="2"/>
      <c r="H265" s="2"/>
      <c r="I265" s="2"/>
      <c r="J265" s="2"/>
      <c r="K265" s="2"/>
      <c r="L265" s="3" t="str">
        <f>IF(B265&lt;&gt;"Closed","",IF(K265&gt;=M265,"Target",IF(K265&lt;=N265,"Stop",IF(R265&gt;=Settings!$B$4,"Time","Manual"))))</f>
        <v/>
      </c>
      <c r="M265" s="3" t="str">
        <f>IF(F265="","",F265*(1+Settings!$B$2))</f>
        <v/>
      </c>
      <c r="N265" s="3" t="str">
        <f>IF(F265="","",F265*(1-Settings!$B$3))</f>
        <v/>
      </c>
      <c r="O265" s="3" t="str">
        <f>IF(E265="","",E265+Settings!$B$4)</f>
        <v/>
      </c>
      <c r="P265" s="3" t="str">
        <f t="shared" si="46"/>
        <v/>
      </c>
      <c r="Q265" s="3" t="str">
        <f t="shared" si="47"/>
        <v/>
      </c>
      <c r="R265" s="3" t="str">
        <f t="shared" ca="1" si="48"/>
        <v/>
      </c>
      <c r="S265" s="3" t="str">
        <f t="shared" ca="1" si="49"/>
        <v/>
      </c>
      <c r="T265" s="3" t="str">
        <f t="shared" si="50"/>
        <v/>
      </c>
      <c r="U265" s="3" t="str">
        <f t="shared" si="51"/>
        <v/>
      </c>
      <c r="V265" s="3" t="str">
        <f t="shared" si="52"/>
        <v/>
      </c>
      <c r="W265" s="3" t="str">
        <f t="shared" ca="1" si="53"/>
        <v/>
      </c>
      <c r="X265" s="3" t="str">
        <f t="shared" ca="1" si="54"/>
        <v/>
      </c>
      <c r="Y265" s="2"/>
    </row>
    <row r="266" spans="1:25">
      <c r="A266" s="3" t="str">
        <f t="shared" si="44"/>
        <v/>
      </c>
      <c r="B266" s="3" t="str">
        <f t="shared" si="45"/>
        <v/>
      </c>
      <c r="C266" s="2"/>
      <c r="D266" s="2"/>
      <c r="E266" s="2"/>
      <c r="F266" s="2"/>
      <c r="G266" s="2"/>
      <c r="H266" s="2"/>
      <c r="I266" s="2"/>
      <c r="J266" s="2"/>
      <c r="K266" s="2"/>
      <c r="L266" s="3" t="str">
        <f>IF(B266&lt;&gt;"Closed","",IF(K266&gt;=M266,"Target",IF(K266&lt;=N266,"Stop",IF(R266&gt;=Settings!$B$4,"Time","Manual"))))</f>
        <v/>
      </c>
      <c r="M266" s="3" t="str">
        <f>IF(F266="","",F266*(1+Settings!$B$2))</f>
        <v/>
      </c>
      <c r="N266" s="3" t="str">
        <f>IF(F266="","",F266*(1-Settings!$B$3))</f>
        <v/>
      </c>
      <c r="O266" s="3" t="str">
        <f>IF(E266="","",E266+Settings!$B$4)</f>
        <v/>
      </c>
      <c r="P266" s="3" t="str">
        <f t="shared" si="46"/>
        <v/>
      </c>
      <c r="Q266" s="3" t="str">
        <f t="shared" si="47"/>
        <v/>
      </c>
      <c r="R266" s="3" t="str">
        <f t="shared" ca="1" si="48"/>
        <v/>
      </c>
      <c r="S266" s="3" t="str">
        <f t="shared" ca="1" si="49"/>
        <v/>
      </c>
      <c r="T266" s="3" t="str">
        <f t="shared" si="50"/>
        <v/>
      </c>
      <c r="U266" s="3" t="str">
        <f t="shared" si="51"/>
        <v/>
      </c>
      <c r="V266" s="3" t="str">
        <f t="shared" si="52"/>
        <v/>
      </c>
      <c r="W266" s="3" t="str">
        <f t="shared" ca="1" si="53"/>
        <v/>
      </c>
      <c r="X266" s="3" t="str">
        <f t="shared" ca="1" si="54"/>
        <v/>
      </c>
      <c r="Y266" s="2"/>
    </row>
    <row r="267" spans="1:25">
      <c r="A267" s="3" t="str">
        <f t="shared" si="44"/>
        <v/>
      </c>
      <c r="B267" s="3" t="str">
        <f t="shared" si="45"/>
        <v/>
      </c>
      <c r="C267" s="2"/>
      <c r="D267" s="2"/>
      <c r="E267" s="2"/>
      <c r="F267" s="2"/>
      <c r="G267" s="2"/>
      <c r="H267" s="2"/>
      <c r="I267" s="2"/>
      <c r="J267" s="2"/>
      <c r="K267" s="2"/>
      <c r="L267" s="3" t="str">
        <f>IF(B267&lt;&gt;"Closed","",IF(K267&gt;=M267,"Target",IF(K267&lt;=N267,"Stop",IF(R267&gt;=Settings!$B$4,"Time","Manual"))))</f>
        <v/>
      </c>
      <c r="M267" s="3" t="str">
        <f>IF(F267="","",F267*(1+Settings!$B$2))</f>
        <v/>
      </c>
      <c r="N267" s="3" t="str">
        <f>IF(F267="","",F267*(1-Settings!$B$3))</f>
        <v/>
      </c>
      <c r="O267" s="3" t="str">
        <f>IF(E267="","",E267+Settings!$B$4)</f>
        <v/>
      </c>
      <c r="P267" s="3" t="str">
        <f t="shared" si="46"/>
        <v/>
      </c>
      <c r="Q267" s="3" t="str">
        <f t="shared" si="47"/>
        <v/>
      </c>
      <c r="R267" s="3" t="str">
        <f t="shared" ca="1" si="48"/>
        <v/>
      </c>
      <c r="S267" s="3" t="str">
        <f t="shared" ca="1" si="49"/>
        <v/>
      </c>
      <c r="T267" s="3" t="str">
        <f t="shared" si="50"/>
        <v/>
      </c>
      <c r="U267" s="3" t="str">
        <f t="shared" si="51"/>
        <v/>
      </c>
      <c r="V267" s="3" t="str">
        <f t="shared" si="52"/>
        <v/>
      </c>
      <c r="W267" s="3" t="str">
        <f t="shared" ca="1" si="53"/>
        <v/>
      </c>
      <c r="X267" s="3" t="str">
        <f t="shared" ca="1" si="54"/>
        <v/>
      </c>
      <c r="Y267" s="2"/>
    </row>
    <row r="268" spans="1:25">
      <c r="A268" s="3" t="str">
        <f t="shared" si="44"/>
        <v/>
      </c>
      <c r="B268" s="3" t="str">
        <f t="shared" si="45"/>
        <v/>
      </c>
      <c r="C268" s="2"/>
      <c r="D268" s="2"/>
      <c r="E268" s="2"/>
      <c r="F268" s="2"/>
      <c r="G268" s="2"/>
      <c r="H268" s="2"/>
      <c r="I268" s="2"/>
      <c r="J268" s="2"/>
      <c r="K268" s="2"/>
      <c r="L268" s="3" t="str">
        <f>IF(B268&lt;&gt;"Closed","",IF(K268&gt;=M268,"Target",IF(K268&lt;=N268,"Stop",IF(R268&gt;=Settings!$B$4,"Time","Manual"))))</f>
        <v/>
      </c>
      <c r="M268" s="3" t="str">
        <f>IF(F268="","",F268*(1+Settings!$B$2))</f>
        <v/>
      </c>
      <c r="N268" s="3" t="str">
        <f>IF(F268="","",F268*(1-Settings!$B$3))</f>
        <v/>
      </c>
      <c r="O268" s="3" t="str">
        <f>IF(E268="","",E268+Settings!$B$4)</f>
        <v/>
      </c>
      <c r="P268" s="3" t="str">
        <f t="shared" si="46"/>
        <v/>
      </c>
      <c r="Q268" s="3" t="str">
        <f t="shared" si="47"/>
        <v/>
      </c>
      <c r="R268" s="3" t="str">
        <f t="shared" ca="1" si="48"/>
        <v/>
      </c>
      <c r="S268" s="3" t="str">
        <f t="shared" ca="1" si="49"/>
        <v/>
      </c>
      <c r="T268" s="3" t="str">
        <f t="shared" si="50"/>
        <v/>
      </c>
      <c r="U268" s="3" t="str">
        <f t="shared" si="51"/>
        <v/>
      </c>
      <c r="V268" s="3" t="str">
        <f t="shared" si="52"/>
        <v/>
      </c>
      <c r="W268" s="3" t="str">
        <f t="shared" ca="1" si="53"/>
        <v/>
      </c>
      <c r="X268" s="3" t="str">
        <f t="shared" ca="1" si="54"/>
        <v/>
      </c>
      <c r="Y268" s="2"/>
    </row>
    <row r="269" spans="1:25">
      <c r="A269" s="3" t="str">
        <f t="shared" si="44"/>
        <v/>
      </c>
      <c r="B269" s="3" t="str">
        <f t="shared" si="45"/>
        <v/>
      </c>
      <c r="C269" s="2"/>
      <c r="D269" s="2"/>
      <c r="E269" s="2"/>
      <c r="F269" s="2"/>
      <c r="G269" s="2"/>
      <c r="H269" s="2"/>
      <c r="I269" s="2"/>
      <c r="J269" s="2"/>
      <c r="K269" s="2"/>
      <c r="L269" s="3" t="str">
        <f>IF(B269&lt;&gt;"Closed","",IF(K269&gt;=M269,"Target",IF(K269&lt;=N269,"Stop",IF(R269&gt;=Settings!$B$4,"Time","Manual"))))</f>
        <v/>
      </c>
      <c r="M269" s="3" t="str">
        <f>IF(F269="","",F269*(1+Settings!$B$2))</f>
        <v/>
      </c>
      <c r="N269" s="3" t="str">
        <f>IF(F269="","",F269*(1-Settings!$B$3))</f>
        <v/>
      </c>
      <c r="O269" s="3" t="str">
        <f>IF(E269="","",E269+Settings!$B$4)</f>
        <v/>
      </c>
      <c r="P269" s="3" t="str">
        <f t="shared" si="46"/>
        <v/>
      </c>
      <c r="Q269" s="3" t="str">
        <f t="shared" si="47"/>
        <v/>
      </c>
      <c r="R269" s="3" t="str">
        <f t="shared" ca="1" si="48"/>
        <v/>
      </c>
      <c r="S269" s="3" t="str">
        <f t="shared" ca="1" si="49"/>
        <v/>
      </c>
      <c r="T269" s="3" t="str">
        <f t="shared" si="50"/>
        <v/>
      </c>
      <c r="U269" s="3" t="str">
        <f t="shared" si="51"/>
        <v/>
      </c>
      <c r="V269" s="3" t="str">
        <f t="shared" si="52"/>
        <v/>
      </c>
      <c r="W269" s="3" t="str">
        <f t="shared" ca="1" si="53"/>
        <v/>
      </c>
      <c r="X269" s="3" t="str">
        <f t="shared" ca="1" si="54"/>
        <v/>
      </c>
      <c r="Y269" s="2"/>
    </row>
    <row r="270" spans="1:25">
      <c r="A270" s="3" t="str">
        <f t="shared" si="44"/>
        <v/>
      </c>
      <c r="B270" s="3" t="str">
        <f t="shared" si="45"/>
        <v/>
      </c>
      <c r="C270" s="2"/>
      <c r="D270" s="2"/>
      <c r="E270" s="2"/>
      <c r="F270" s="2"/>
      <c r="G270" s="2"/>
      <c r="H270" s="2"/>
      <c r="I270" s="2"/>
      <c r="J270" s="2"/>
      <c r="K270" s="2"/>
      <c r="L270" s="3" t="str">
        <f>IF(B270&lt;&gt;"Closed","",IF(K270&gt;=M270,"Target",IF(K270&lt;=N270,"Stop",IF(R270&gt;=Settings!$B$4,"Time","Manual"))))</f>
        <v/>
      </c>
      <c r="M270" s="3" t="str">
        <f>IF(F270="","",F270*(1+Settings!$B$2))</f>
        <v/>
      </c>
      <c r="N270" s="3" t="str">
        <f>IF(F270="","",F270*(1-Settings!$B$3))</f>
        <v/>
      </c>
      <c r="O270" s="3" t="str">
        <f>IF(E270="","",E270+Settings!$B$4)</f>
        <v/>
      </c>
      <c r="P270" s="3" t="str">
        <f t="shared" si="46"/>
        <v/>
      </c>
      <c r="Q270" s="3" t="str">
        <f t="shared" si="47"/>
        <v/>
      </c>
      <c r="R270" s="3" t="str">
        <f t="shared" ca="1" si="48"/>
        <v/>
      </c>
      <c r="S270" s="3" t="str">
        <f t="shared" ca="1" si="49"/>
        <v/>
      </c>
      <c r="T270" s="3" t="str">
        <f t="shared" si="50"/>
        <v/>
      </c>
      <c r="U270" s="3" t="str">
        <f t="shared" si="51"/>
        <v/>
      </c>
      <c r="V270" s="3" t="str">
        <f t="shared" si="52"/>
        <v/>
      </c>
      <c r="W270" s="3" t="str">
        <f t="shared" ca="1" si="53"/>
        <v/>
      </c>
      <c r="X270" s="3" t="str">
        <f t="shared" ca="1" si="54"/>
        <v/>
      </c>
      <c r="Y270" s="2"/>
    </row>
    <row r="271" spans="1:25">
      <c r="A271" s="3" t="str">
        <f t="shared" si="44"/>
        <v/>
      </c>
      <c r="B271" s="3" t="str">
        <f t="shared" si="45"/>
        <v/>
      </c>
      <c r="C271" s="2"/>
      <c r="D271" s="2"/>
      <c r="E271" s="2"/>
      <c r="F271" s="2"/>
      <c r="G271" s="2"/>
      <c r="H271" s="2"/>
      <c r="I271" s="2"/>
      <c r="J271" s="2"/>
      <c r="K271" s="2"/>
      <c r="L271" s="3" t="str">
        <f>IF(B271&lt;&gt;"Closed","",IF(K271&gt;=M271,"Target",IF(K271&lt;=N271,"Stop",IF(R271&gt;=Settings!$B$4,"Time","Manual"))))</f>
        <v/>
      </c>
      <c r="M271" s="3" t="str">
        <f>IF(F271="","",F271*(1+Settings!$B$2))</f>
        <v/>
      </c>
      <c r="N271" s="3" t="str">
        <f>IF(F271="","",F271*(1-Settings!$B$3))</f>
        <v/>
      </c>
      <c r="O271" s="3" t="str">
        <f>IF(E271="","",E271+Settings!$B$4)</f>
        <v/>
      </c>
      <c r="P271" s="3" t="str">
        <f t="shared" si="46"/>
        <v/>
      </c>
      <c r="Q271" s="3" t="str">
        <f t="shared" si="47"/>
        <v/>
      </c>
      <c r="R271" s="3" t="str">
        <f t="shared" ca="1" si="48"/>
        <v/>
      </c>
      <c r="S271" s="3" t="str">
        <f t="shared" ca="1" si="49"/>
        <v/>
      </c>
      <c r="T271" s="3" t="str">
        <f t="shared" si="50"/>
        <v/>
      </c>
      <c r="U271" s="3" t="str">
        <f t="shared" si="51"/>
        <v/>
      </c>
      <c r="V271" s="3" t="str">
        <f t="shared" si="52"/>
        <v/>
      </c>
      <c r="W271" s="3" t="str">
        <f t="shared" ca="1" si="53"/>
        <v/>
      </c>
      <c r="X271" s="3" t="str">
        <f t="shared" ca="1" si="54"/>
        <v/>
      </c>
      <c r="Y271" s="2"/>
    </row>
    <row r="272" spans="1:25">
      <c r="A272" s="3" t="str">
        <f t="shared" si="44"/>
        <v/>
      </c>
      <c r="B272" s="3" t="str">
        <f t="shared" si="45"/>
        <v/>
      </c>
      <c r="C272" s="2"/>
      <c r="D272" s="2"/>
      <c r="E272" s="2"/>
      <c r="F272" s="2"/>
      <c r="G272" s="2"/>
      <c r="H272" s="2"/>
      <c r="I272" s="2"/>
      <c r="J272" s="2"/>
      <c r="K272" s="2"/>
      <c r="L272" s="3" t="str">
        <f>IF(B272&lt;&gt;"Closed","",IF(K272&gt;=M272,"Target",IF(K272&lt;=N272,"Stop",IF(R272&gt;=Settings!$B$4,"Time","Manual"))))</f>
        <v/>
      </c>
      <c r="M272" s="3" t="str">
        <f>IF(F272="","",F272*(1+Settings!$B$2))</f>
        <v/>
      </c>
      <c r="N272" s="3" t="str">
        <f>IF(F272="","",F272*(1-Settings!$B$3))</f>
        <v/>
      </c>
      <c r="O272" s="3" t="str">
        <f>IF(E272="","",E272+Settings!$B$4)</f>
        <v/>
      </c>
      <c r="P272" s="3" t="str">
        <f t="shared" si="46"/>
        <v/>
      </c>
      <c r="Q272" s="3" t="str">
        <f t="shared" si="47"/>
        <v/>
      </c>
      <c r="R272" s="3" t="str">
        <f t="shared" ca="1" si="48"/>
        <v/>
      </c>
      <c r="S272" s="3" t="str">
        <f t="shared" ca="1" si="49"/>
        <v/>
      </c>
      <c r="T272" s="3" t="str">
        <f t="shared" si="50"/>
        <v/>
      </c>
      <c r="U272" s="3" t="str">
        <f t="shared" si="51"/>
        <v/>
      </c>
      <c r="V272" s="3" t="str">
        <f t="shared" si="52"/>
        <v/>
      </c>
      <c r="W272" s="3" t="str">
        <f t="shared" ca="1" si="53"/>
        <v/>
      </c>
      <c r="X272" s="3" t="str">
        <f t="shared" ca="1" si="54"/>
        <v/>
      </c>
      <c r="Y272" s="2"/>
    </row>
    <row r="273" spans="1:25">
      <c r="A273" s="3" t="str">
        <f t="shared" si="44"/>
        <v/>
      </c>
      <c r="B273" s="3" t="str">
        <f t="shared" si="45"/>
        <v/>
      </c>
      <c r="C273" s="2"/>
      <c r="D273" s="2"/>
      <c r="E273" s="2"/>
      <c r="F273" s="2"/>
      <c r="G273" s="2"/>
      <c r="H273" s="2"/>
      <c r="I273" s="2"/>
      <c r="J273" s="2"/>
      <c r="K273" s="2"/>
      <c r="L273" s="3" t="str">
        <f>IF(B273&lt;&gt;"Closed","",IF(K273&gt;=M273,"Target",IF(K273&lt;=N273,"Stop",IF(R273&gt;=Settings!$B$4,"Time","Manual"))))</f>
        <v/>
      </c>
      <c r="M273" s="3" t="str">
        <f>IF(F273="","",F273*(1+Settings!$B$2))</f>
        <v/>
      </c>
      <c r="N273" s="3" t="str">
        <f>IF(F273="","",F273*(1-Settings!$B$3))</f>
        <v/>
      </c>
      <c r="O273" s="3" t="str">
        <f>IF(E273="","",E273+Settings!$B$4)</f>
        <v/>
      </c>
      <c r="P273" s="3" t="str">
        <f t="shared" si="46"/>
        <v/>
      </c>
      <c r="Q273" s="3" t="str">
        <f t="shared" si="47"/>
        <v/>
      </c>
      <c r="R273" s="3" t="str">
        <f t="shared" ca="1" si="48"/>
        <v/>
      </c>
      <c r="S273" s="3" t="str">
        <f t="shared" ca="1" si="49"/>
        <v/>
      </c>
      <c r="T273" s="3" t="str">
        <f t="shared" si="50"/>
        <v/>
      </c>
      <c r="U273" s="3" t="str">
        <f t="shared" si="51"/>
        <v/>
      </c>
      <c r="V273" s="3" t="str">
        <f t="shared" si="52"/>
        <v/>
      </c>
      <c r="W273" s="3" t="str">
        <f t="shared" ca="1" si="53"/>
        <v/>
      </c>
      <c r="X273" s="3" t="str">
        <f t="shared" ca="1" si="54"/>
        <v/>
      </c>
      <c r="Y273" s="2"/>
    </row>
    <row r="274" spans="1:25">
      <c r="A274" s="3" t="str">
        <f t="shared" si="44"/>
        <v/>
      </c>
      <c r="B274" s="3" t="str">
        <f t="shared" si="45"/>
        <v/>
      </c>
      <c r="C274" s="2"/>
      <c r="D274" s="2"/>
      <c r="E274" s="2"/>
      <c r="F274" s="2"/>
      <c r="G274" s="2"/>
      <c r="H274" s="2"/>
      <c r="I274" s="2"/>
      <c r="J274" s="2"/>
      <c r="K274" s="2"/>
      <c r="L274" s="3" t="str">
        <f>IF(B274&lt;&gt;"Closed","",IF(K274&gt;=M274,"Target",IF(K274&lt;=N274,"Stop",IF(R274&gt;=Settings!$B$4,"Time","Manual"))))</f>
        <v/>
      </c>
      <c r="M274" s="3" t="str">
        <f>IF(F274="","",F274*(1+Settings!$B$2))</f>
        <v/>
      </c>
      <c r="N274" s="3" t="str">
        <f>IF(F274="","",F274*(1-Settings!$B$3))</f>
        <v/>
      </c>
      <c r="O274" s="3" t="str">
        <f>IF(E274="","",E274+Settings!$B$4)</f>
        <v/>
      </c>
      <c r="P274" s="3" t="str">
        <f t="shared" si="46"/>
        <v/>
      </c>
      <c r="Q274" s="3" t="str">
        <f t="shared" si="47"/>
        <v/>
      </c>
      <c r="R274" s="3" t="str">
        <f t="shared" ca="1" si="48"/>
        <v/>
      </c>
      <c r="S274" s="3" t="str">
        <f t="shared" ca="1" si="49"/>
        <v/>
      </c>
      <c r="T274" s="3" t="str">
        <f t="shared" si="50"/>
        <v/>
      </c>
      <c r="U274" s="3" t="str">
        <f t="shared" si="51"/>
        <v/>
      </c>
      <c r="V274" s="3" t="str">
        <f t="shared" si="52"/>
        <v/>
      </c>
      <c r="W274" s="3" t="str">
        <f t="shared" ca="1" si="53"/>
        <v/>
      </c>
      <c r="X274" s="3" t="str">
        <f t="shared" ca="1" si="54"/>
        <v/>
      </c>
      <c r="Y274" s="2"/>
    </row>
    <row r="275" spans="1:25">
      <c r="A275" s="3" t="str">
        <f t="shared" si="44"/>
        <v/>
      </c>
      <c r="B275" s="3" t="str">
        <f t="shared" si="45"/>
        <v/>
      </c>
      <c r="C275" s="2"/>
      <c r="D275" s="2"/>
      <c r="E275" s="2"/>
      <c r="F275" s="2"/>
      <c r="G275" s="2"/>
      <c r="H275" s="2"/>
      <c r="I275" s="2"/>
      <c r="J275" s="2"/>
      <c r="K275" s="2"/>
      <c r="L275" s="3" t="str">
        <f>IF(B275&lt;&gt;"Closed","",IF(K275&gt;=M275,"Target",IF(K275&lt;=N275,"Stop",IF(R275&gt;=Settings!$B$4,"Time","Manual"))))</f>
        <v/>
      </c>
      <c r="M275" s="3" t="str">
        <f>IF(F275="","",F275*(1+Settings!$B$2))</f>
        <v/>
      </c>
      <c r="N275" s="3" t="str">
        <f>IF(F275="","",F275*(1-Settings!$B$3))</f>
        <v/>
      </c>
      <c r="O275" s="3" t="str">
        <f>IF(E275="","",E275+Settings!$B$4)</f>
        <v/>
      </c>
      <c r="P275" s="3" t="str">
        <f t="shared" si="46"/>
        <v/>
      </c>
      <c r="Q275" s="3" t="str">
        <f t="shared" si="47"/>
        <v/>
      </c>
      <c r="R275" s="3" t="str">
        <f t="shared" ca="1" si="48"/>
        <v/>
      </c>
      <c r="S275" s="3" t="str">
        <f t="shared" ca="1" si="49"/>
        <v/>
      </c>
      <c r="T275" s="3" t="str">
        <f t="shared" si="50"/>
        <v/>
      </c>
      <c r="U275" s="3" t="str">
        <f t="shared" si="51"/>
        <v/>
      </c>
      <c r="V275" s="3" t="str">
        <f t="shared" si="52"/>
        <v/>
      </c>
      <c r="W275" s="3" t="str">
        <f t="shared" ca="1" si="53"/>
        <v/>
      </c>
      <c r="X275" s="3" t="str">
        <f t="shared" ca="1" si="54"/>
        <v/>
      </c>
      <c r="Y275" s="2"/>
    </row>
    <row r="276" spans="1:25">
      <c r="A276" s="3" t="str">
        <f t="shared" si="44"/>
        <v/>
      </c>
      <c r="B276" s="3" t="str">
        <f t="shared" si="45"/>
        <v/>
      </c>
      <c r="C276" s="2"/>
      <c r="D276" s="2"/>
      <c r="E276" s="2"/>
      <c r="F276" s="2"/>
      <c r="G276" s="2"/>
      <c r="H276" s="2"/>
      <c r="I276" s="2"/>
      <c r="J276" s="2"/>
      <c r="K276" s="2"/>
      <c r="L276" s="3" t="str">
        <f>IF(B276&lt;&gt;"Closed","",IF(K276&gt;=M276,"Target",IF(K276&lt;=N276,"Stop",IF(R276&gt;=Settings!$B$4,"Time","Manual"))))</f>
        <v/>
      </c>
      <c r="M276" s="3" t="str">
        <f>IF(F276="","",F276*(1+Settings!$B$2))</f>
        <v/>
      </c>
      <c r="N276" s="3" t="str">
        <f>IF(F276="","",F276*(1-Settings!$B$3))</f>
        <v/>
      </c>
      <c r="O276" s="3" t="str">
        <f>IF(E276="","",E276+Settings!$B$4)</f>
        <v/>
      </c>
      <c r="P276" s="3" t="str">
        <f t="shared" si="46"/>
        <v/>
      </c>
      <c r="Q276" s="3" t="str">
        <f t="shared" si="47"/>
        <v/>
      </c>
      <c r="R276" s="3" t="str">
        <f t="shared" ca="1" si="48"/>
        <v/>
      </c>
      <c r="S276" s="3" t="str">
        <f t="shared" ca="1" si="49"/>
        <v/>
      </c>
      <c r="T276" s="3" t="str">
        <f t="shared" si="50"/>
        <v/>
      </c>
      <c r="U276" s="3" t="str">
        <f t="shared" si="51"/>
        <v/>
      </c>
      <c r="V276" s="3" t="str">
        <f t="shared" si="52"/>
        <v/>
      </c>
      <c r="W276" s="3" t="str">
        <f t="shared" ca="1" si="53"/>
        <v/>
      </c>
      <c r="X276" s="3" t="str">
        <f t="shared" ca="1" si="54"/>
        <v/>
      </c>
      <c r="Y276" s="2"/>
    </row>
    <row r="277" spans="1:25">
      <c r="A277" s="3" t="str">
        <f t="shared" si="44"/>
        <v/>
      </c>
      <c r="B277" s="3" t="str">
        <f t="shared" si="45"/>
        <v/>
      </c>
      <c r="C277" s="2"/>
      <c r="D277" s="2"/>
      <c r="E277" s="2"/>
      <c r="F277" s="2"/>
      <c r="G277" s="2"/>
      <c r="H277" s="2"/>
      <c r="I277" s="2"/>
      <c r="J277" s="2"/>
      <c r="K277" s="2"/>
      <c r="L277" s="3" t="str">
        <f>IF(B277&lt;&gt;"Closed","",IF(K277&gt;=M277,"Target",IF(K277&lt;=N277,"Stop",IF(R277&gt;=Settings!$B$4,"Time","Manual"))))</f>
        <v/>
      </c>
      <c r="M277" s="3" t="str">
        <f>IF(F277="","",F277*(1+Settings!$B$2))</f>
        <v/>
      </c>
      <c r="N277" s="3" t="str">
        <f>IF(F277="","",F277*(1-Settings!$B$3))</f>
        <v/>
      </c>
      <c r="O277" s="3" t="str">
        <f>IF(E277="","",E277+Settings!$B$4)</f>
        <v/>
      </c>
      <c r="P277" s="3" t="str">
        <f t="shared" si="46"/>
        <v/>
      </c>
      <c r="Q277" s="3" t="str">
        <f t="shared" si="47"/>
        <v/>
      </c>
      <c r="R277" s="3" t="str">
        <f t="shared" ca="1" si="48"/>
        <v/>
      </c>
      <c r="S277" s="3" t="str">
        <f t="shared" ca="1" si="49"/>
        <v/>
      </c>
      <c r="T277" s="3" t="str">
        <f t="shared" si="50"/>
        <v/>
      </c>
      <c r="U277" s="3" t="str">
        <f t="shared" si="51"/>
        <v/>
      </c>
      <c r="V277" s="3" t="str">
        <f t="shared" si="52"/>
        <v/>
      </c>
      <c r="W277" s="3" t="str">
        <f t="shared" ca="1" si="53"/>
        <v/>
      </c>
      <c r="X277" s="3" t="str">
        <f t="shared" ca="1" si="54"/>
        <v/>
      </c>
      <c r="Y277" s="2"/>
    </row>
    <row r="278" spans="1:25">
      <c r="A278" s="3" t="str">
        <f t="shared" si="44"/>
        <v/>
      </c>
      <c r="B278" s="3" t="str">
        <f t="shared" si="45"/>
        <v/>
      </c>
      <c r="C278" s="2"/>
      <c r="D278" s="2"/>
      <c r="E278" s="2"/>
      <c r="F278" s="2"/>
      <c r="G278" s="2"/>
      <c r="H278" s="2"/>
      <c r="I278" s="2"/>
      <c r="J278" s="2"/>
      <c r="K278" s="2"/>
      <c r="L278" s="3" t="str">
        <f>IF(B278&lt;&gt;"Closed","",IF(K278&gt;=M278,"Target",IF(K278&lt;=N278,"Stop",IF(R278&gt;=Settings!$B$4,"Time","Manual"))))</f>
        <v/>
      </c>
      <c r="M278" s="3" t="str">
        <f>IF(F278="","",F278*(1+Settings!$B$2))</f>
        <v/>
      </c>
      <c r="N278" s="3" t="str">
        <f>IF(F278="","",F278*(1-Settings!$B$3))</f>
        <v/>
      </c>
      <c r="O278" s="3" t="str">
        <f>IF(E278="","",E278+Settings!$B$4)</f>
        <v/>
      </c>
      <c r="P278" s="3" t="str">
        <f t="shared" si="46"/>
        <v/>
      </c>
      <c r="Q278" s="3" t="str">
        <f t="shared" si="47"/>
        <v/>
      </c>
      <c r="R278" s="3" t="str">
        <f t="shared" ca="1" si="48"/>
        <v/>
      </c>
      <c r="S278" s="3" t="str">
        <f t="shared" ca="1" si="49"/>
        <v/>
      </c>
      <c r="T278" s="3" t="str">
        <f t="shared" si="50"/>
        <v/>
      </c>
      <c r="U278" s="3" t="str">
        <f t="shared" si="51"/>
        <v/>
      </c>
      <c r="V278" s="3" t="str">
        <f t="shared" si="52"/>
        <v/>
      </c>
      <c r="W278" s="3" t="str">
        <f t="shared" ca="1" si="53"/>
        <v/>
      </c>
      <c r="X278" s="3" t="str">
        <f t="shared" ca="1" si="54"/>
        <v/>
      </c>
      <c r="Y278" s="2"/>
    </row>
    <row r="279" spans="1:25">
      <c r="A279" s="3" t="str">
        <f t="shared" si="44"/>
        <v/>
      </c>
      <c r="B279" s="3" t="str">
        <f t="shared" si="45"/>
        <v/>
      </c>
      <c r="C279" s="2"/>
      <c r="D279" s="2"/>
      <c r="E279" s="2"/>
      <c r="F279" s="2"/>
      <c r="G279" s="2"/>
      <c r="H279" s="2"/>
      <c r="I279" s="2"/>
      <c r="J279" s="2"/>
      <c r="K279" s="2"/>
      <c r="L279" s="3" t="str">
        <f>IF(B279&lt;&gt;"Closed","",IF(K279&gt;=M279,"Target",IF(K279&lt;=N279,"Stop",IF(R279&gt;=Settings!$B$4,"Time","Manual"))))</f>
        <v/>
      </c>
      <c r="M279" s="3" t="str">
        <f>IF(F279="","",F279*(1+Settings!$B$2))</f>
        <v/>
      </c>
      <c r="N279" s="3" t="str">
        <f>IF(F279="","",F279*(1-Settings!$B$3))</f>
        <v/>
      </c>
      <c r="O279" s="3" t="str">
        <f>IF(E279="","",E279+Settings!$B$4)</f>
        <v/>
      </c>
      <c r="P279" s="3" t="str">
        <f t="shared" si="46"/>
        <v/>
      </c>
      <c r="Q279" s="3" t="str">
        <f t="shared" si="47"/>
        <v/>
      </c>
      <c r="R279" s="3" t="str">
        <f t="shared" ca="1" si="48"/>
        <v/>
      </c>
      <c r="S279" s="3" t="str">
        <f t="shared" ca="1" si="49"/>
        <v/>
      </c>
      <c r="T279" s="3" t="str">
        <f t="shared" si="50"/>
        <v/>
      </c>
      <c r="U279" s="3" t="str">
        <f t="shared" si="51"/>
        <v/>
      </c>
      <c r="V279" s="3" t="str">
        <f t="shared" si="52"/>
        <v/>
      </c>
      <c r="W279" s="3" t="str">
        <f t="shared" ca="1" si="53"/>
        <v/>
      </c>
      <c r="X279" s="3" t="str">
        <f t="shared" ca="1" si="54"/>
        <v/>
      </c>
      <c r="Y279" s="2"/>
    </row>
    <row r="280" spans="1:25">
      <c r="A280" s="3" t="str">
        <f t="shared" si="44"/>
        <v/>
      </c>
      <c r="B280" s="3" t="str">
        <f t="shared" si="45"/>
        <v/>
      </c>
      <c r="C280" s="2"/>
      <c r="D280" s="2"/>
      <c r="E280" s="2"/>
      <c r="F280" s="2"/>
      <c r="G280" s="2"/>
      <c r="H280" s="2"/>
      <c r="I280" s="2"/>
      <c r="J280" s="2"/>
      <c r="K280" s="2"/>
      <c r="L280" s="3" t="str">
        <f>IF(B280&lt;&gt;"Closed","",IF(K280&gt;=M280,"Target",IF(K280&lt;=N280,"Stop",IF(R280&gt;=Settings!$B$4,"Time","Manual"))))</f>
        <v/>
      </c>
      <c r="M280" s="3" t="str">
        <f>IF(F280="","",F280*(1+Settings!$B$2))</f>
        <v/>
      </c>
      <c r="N280" s="3" t="str">
        <f>IF(F280="","",F280*(1-Settings!$B$3))</f>
        <v/>
      </c>
      <c r="O280" s="3" t="str">
        <f>IF(E280="","",E280+Settings!$B$4)</f>
        <v/>
      </c>
      <c r="P280" s="3" t="str">
        <f t="shared" si="46"/>
        <v/>
      </c>
      <c r="Q280" s="3" t="str">
        <f t="shared" si="47"/>
        <v/>
      </c>
      <c r="R280" s="3" t="str">
        <f t="shared" ca="1" si="48"/>
        <v/>
      </c>
      <c r="S280" s="3" t="str">
        <f t="shared" ca="1" si="49"/>
        <v/>
      </c>
      <c r="T280" s="3" t="str">
        <f t="shared" si="50"/>
        <v/>
      </c>
      <c r="U280" s="3" t="str">
        <f t="shared" si="51"/>
        <v/>
      </c>
      <c r="V280" s="3" t="str">
        <f t="shared" si="52"/>
        <v/>
      </c>
      <c r="W280" s="3" t="str">
        <f t="shared" ca="1" si="53"/>
        <v/>
      </c>
      <c r="X280" s="3" t="str">
        <f t="shared" ca="1" si="54"/>
        <v/>
      </c>
      <c r="Y280" s="2"/>
    </row>
    <row r="281" spans="1:25">
      <c r="A281" s="3" t="str">
        <f t="shared" si="44"/>
        <v/>
      </c>
      <c r="B281" s="3" t="str">
        <f t="shared" si="45"/>
        <v/>
      </c>
      <c r="C281" s="2"/>
      <c r="D281" s="2"/>
      <c r="E281" s="2"/>
      <c r="F281" s="2"/>
      <c r="G281" s="2"/>
      <c r="H281" s="2"/>
      <c r="I281" s="2"/>
      <c r="J281" s="2"/>
      <c r="K281" s="2"/>
      <c r="L281" s="3" t="str">
        <f>IF(B281&lt;&gt;"Closed","",IF(K281&gt;=M281,"Target",IF(K281&lt;=N281,"Stop",IF(R281&gt;=Settings!$B$4,"Time","Manual"))))</f>
        <v/>
      </c>
      <c r="M281" s="3" t="str">
        <f>IF(F281="","",F281*(1+Settings!$B$2))</f>
        <v/>
      </c>
      <c r="N281" s="3" t="str">
        <f>IF(F281="","",F281*(1-Settings!$B$3))</f>
        <v/>
      </c>
      <c r="O281" s="3" t="str">
        <f>IF(E281="","",E281+Settings!$B$4)</f>
        <v/>
      </c>
      <c r="P281" s="3" t="str">
        <f t="shared" si="46"/>
        <v/>
      </c>
      <c r="Q281" s="3" t="str">
        <f t="shared" si="47"/>
        <v/>
      </c>
      <c r="R281" s="3" t="str">
        <f t="shared" ca="1" si="48"/>
        <v/>
      </c>
      <c r="S281" s="3" t="str">
        <f t="shared" ca="1" si="49"/>
        <v/>
      </c>
      <c r="T281" s="3" t="str">
        <f t="shared" si="50"/>
        <v/>
      </c>
      <c r="U281" s="3" t="str">
        <f t="shared" si="51"/>
        <v/>
      </c>
      <c r="V281" s="3" t="str">
        <f t="shared" si="52"/>
        <v/>
      </c>
      <c r="W281" s="3" t="str">
        <f t="shared" ca="1" si="53"/>
        <v/>
      </c>
      <c r="X281" s="3" t="str">
        <f t="shared" ca="1" si="54"/>
        <v/>
      </c>
      <c r="Y281" s="2"/>
    </row>
    <row r="282" spans="1:25">
      <c r="A282" s="3" t="str">
        <f t="shared" si="44"/>
        <v/>
      </c>
      <c r="B282" s="3" t="str">
        <f t="shared" si="45"/>
        <v/>
      </c>
      <c r="C282" s="2"/>
      <c r="D282" s="2"/>
      <c r="E282" s="2"/>
      <c r="F282" s="2"/>
      <c r="G282" s="2"/>
      <c r="H282" s="2"/>
      <c r="I282" s="2"/>
      <c r="J282" s="2"/>
      <c r="K282" s="2"/>
      <c r="L282" s="3" t="str">
        <f>IF(B282&lt;&gt;"Closed","",IF(K282&gt;=M282,"Target",IF(K282&lt;=N282,"Stop",IF(R282&gt;=Settings!$B$4,"Time","Manual"))))</f>
        <v/>
      </c>
      <c r="M282" s="3" t="str">
        <f>IF(F282="","",F282*(1+Settings!$B$2))</f>
        <v/>
      </c>
      <c r="N282" s="3" t="str">
        <f>IF(F282="","",F282*(1-Settings!$B$3))</f>
        <v/>
      </c>
      <c r="O282" s="3" t="str">
        <f>IF(E282="","",E282+Settings!$B$4)</f>
        <v/>
      </c>
      <c r="P282" s="3" t="str">
        <f t="shared" si="46"/>
        <v/>
      </c>
      <c r="Q282" s="3" t="str">
        <f t="shared" si="47"/>
        <v/>
      </c>
      <c r="R282" s="3" t="str">
        <f t="shared" ca="1" si="48"/>
        <v/>
      </c>
      <c r="S282" s="3" t="str">
        <f t="shared" ca="1" si="49"/>
        <v/>
      </c>
      <c r="T282" s="3" t="str">
        <f t="shared" si="50"/>
        <v/>
      </c>
      <c r="U282" s="3" t="str">
        <f t="shared" si="51"/>
        <v/>
      </c>
      <c r="V282" s="3" t="str">
        <f t="shared" si="52"/>
        <v/>
      </c>
      <c r="W282" s="3" t="str">
        <f t="shared" ca="1" si="53"/>
        <v/>
      </c>
      <c r="X282" s="3" t="str">
        <f t="shared" ca="1" si="54"/>
        <v/>
      </c>
      <c r="Y282" s="2"/>
    </row>
    <row r="283" spans="1:25">
      <c r="A283" s="3" t="str">
        <f t="shared" si="44"/>
        <v/>
      </c>
      <c r="B283" s="3" t="str">
        <f t="shared" si="45"/>
        <v/>
      </c>
      <c r="C283" s="2"/>
      <c r="D283" s="2"/>
      <c r="E283" s="2"/>
      <c r="F283" s="2"/>
      <c r="G283" s="2"/>
      <c r="H283" s="2"/>
      <c r="I283" s="2"/>
      <c r="J283" s="2"/>
      <c r="K283" s="2"/>
      <c r="L283" s="3" t="str">
        <f>IF(B283&lt;&gt;"Closed","",IF(K283&gt;=M283,"Target",IF(K283&lt;=N283,"Stop",IF(R283&gt;=Settings!$B$4,"Time","Manual"))))</f>
        <v/>
      </c>
      <c r="M283" s="3" t="str">
        <f>IF(F283="","",F283*(1+Settings!$B$2))</f>
        <v/>
      </c>
      <c r="N283" s="3" t="str">
        <f>IF(F283="","",F283*(1-Settings!$B$3))</f>
        <v/>
      </c>
      <c r="O283" s="3" t="str">
        <f>IF(E283="","",E283+Settings!$B$4)</f>
        <v/>
      </c>
      <c r="P283" s="3" t="str">
        <f t="shared" si="46"/>
        <v/>
      </c>
      <c r="Q283" s="3" t="str">
        <f t="shared" si="47"/>
        <v/>
      </c>
      <c r="R283" s="3" t="str">
        <f t="shared" ca="1" si="48"/>
        <v/>
      </c>
      <c r="S283" s="3" t="str">
        <f t="shared" ca="1" si="49"/>
        <v/>
      </c>
      <c r="T283" s="3" t="str">
        <f t="shared" si="50"/>
        <v/>
      </c>
      <c r="U283" s="3" t="str">
        <f t="shared" si="51"/>
        <v/>
      </c>
      <c r="V283" s="3" t="str">
        <f t="shared" si="52"/>
        <v/>
      </c>
      <c r="W283" s="3" t="str">
        <f t="shared" ca="1" si="53"/>
        <v/>
      </c>
      <c r="X283" s="3" t="str">
        <f t="shared" ca="1" si="54"/>
        <v/>
      </c>
      <c r="Y283" s="2"/>
    </row>
    <row r="284" spans="1:25">
      <c r="A284" s="3" t="str">
        <f t="shared" si="44"/>
        <v/>
      </c>
      <c r="B284" s="3" t="str">
        <f t="shared" si="45"/>
        <v/>
      </c>
      <c r="C284" s="2"/>
      <c r="D284" s="2"/>
      <c r="E284" s="2"/>
      <c r="F284" s="2"/>
      <c r="G284" s="2"/>
      <c r="H284" s="2"/>
      <c r="I284" s="2"/>
      <c r="J284" s="2"/>
      <c r="K284" s="2"/>
      <c r="L284" s="3" t="str">
        <f>IF(B284&lt;&gt;"Closed","",IF(K284&gt;=M284,"Target",IF(K284&lt;=N284,"Stop",IF(R284&gt;=Settings!$B$4,"Time","Manual"))))</f>
        <v/>
      </c>
      <c r="M284" s="3" t="str">
        <f>IF(F284="","",F284*(1+Settings!$B$2))</f>
        <v/>
      </c>
      <c r="N284" s="3" t="str">
        <f>IF(F284="","",F284*(1-Settings!$B$3))</f>
        <v/>
      </c>
      <c r="O284" s="3" t="str">
        <f>IF(E284="","",E284+Settings!$B$4)</f>
        <v/>
      </c>
      <c r="P284" s="3" t="str">
        <f t="shared" si="46"/>
        <v/>
      </c>
      <c r="Q284" s="3" t="str">
        <f t="shared" si="47"/>
        <v/>
      </c>
      <c r="R284" s="3" t="str">
        <f t="shared" ca="1" si="48"/>
        <v/>
      </c>
      <c r="S284" s="3" t="str">
        <f t="shared" ca="1" si="49"/>
        <v/>
      </c>
      <c r="T284" s="3" t="str">
        <f t="shared" si="50"/>
        <v/>
      </c>
      <c r="U284" s="3" t="str">
        <f t="shared" si="51"/>
        <v/>
      </c>
      <c r="V284" s="3" t="str">
        <f t="shared" si="52"/>
        <v/>
      </c>
      <c r="W284" s="3" t="str">
        <f t="shared" ca="1" si="53"/>
        <v/>
      </c>
      <c r="X284" s="3" t="str">
        <f t="shared" ca="1" si="54"/>
        <v/>
      </c>
      <c r="Y284" s="2"/>
    </row>
    <row r="285" spans="1:25">
      <c r="A285" s="3" t="str">
        <f t="shared" si="44"/>
        <v/>
      </c>
      <c r="B285" s="3" t="str">
        <f t="shared" si="45"/>
        <v/>
      </c>
      <c r="C285" s="2"/>
      <c r="D285" s="2"/>
      <c r="E285" s="2"/>
      <c r="F285" s="2"/>
      <c r="G285" s="2"/>
      <c r="H285" s="2"/>
      <c r="I285" s="2"/>
      <c r="J285" s="2"/>
      <c r="K285" s="2"/>
      <c r="L285" s="3" t="str">
        <f>IF(B285&lt;&gt;"Closed","",IF(K285&gt;=M285,"Target",IF(K285&lt;=N285,"Stop",IF(R285&gt;=Settings!$B$4,"Time","Manual"))))</f>
        <v/>
      </c>
      <c r="M285" s="3" t="str">
        <f>IF(F285="","",F285*(1+Settings!$B$2))</f>
        <v/>
      </c>
      <c r="N285" s="3" t="str">
        <f>IF(F285="","",F285*(1-Settings!$B$3))</f>
        <v/>
      </c>
      <c r="O285" s="3" t="str">
        <f>IF(E285="","",E285+Settings!$B$4)</f>
        <v/>
      </c>
      <c r="P285" s="3" t="str">
        <f t="shared" si="46"/>
        <v/>
      </c>
      <c r="Q285" s="3" t="str">
        <f t="shared" si="47"/>
        <v/>
      </c>
      <c r="R285" s="3" t="str">
        <f t="shared" ca="1" si="48"/>
        <v/>
      </c>
      <c r="S285" s="3" t="str">
        <f t="shared" ca="1" si="49"/>
        <v/>
      </c>
      <c r="T285" s="3" t="str">
        <f t="shared" si="50"/>
        <v/>
      </c>
      <c r="U285" s="3" t="str">
        <f t="shared" si="51"/>
        <v/>
      </c>
      <c r="V285" s="3" t="str">
        <f t="shared" si="52"/>
        <v/>
      </c>
      <c r="W285" s="3" t="str">
        <f t="shared" ca="1" si="53"/>
        <v/>
      </c>
      <c r="X285" s="3" t="str">
        <f t="shared" ca="1" si="54"/>
        <v/>
      </c>
      <c r="Y285" s="2"/>
    </row>
    <row r="286" spans="1:25">
      <c r="A286" s="3" t="str">
        <f t="shared" si="44"/>
        <v/>
      </c>
      <c r="B286" s="3" t="str">
        <f t="shared" si="45"/>
        <v/>
      </c>
      <c r="C286" s="2"/>
      <c r="D286" s="2"/>
      <c r="E286" s="2"/>
      <c r="F286" s="2"/>
      <c r="G286" s="2"/>
      <c r="H286" s="2"/>
      <c r="I286" s="2"/>
      <c r="J286" s="2"/>
      <c r="K286" s="2"/>
      <c r="L286" s="3" t="str">
        <f>IF(B286&lt;&gt;"Closed","",IF(K286&gt;=M286,"Target",IF(K286&lt;=N286,"Stop",IF(R286&gt;=Settings!$B$4,"Time","Manual"))))</f>
        <v/>
      </c>
      <c r="M286" s="3" t="str">
        <f>IF(F286="","",F286*(1+Settings!$B$2))</f>
        <v/>
      </c>
      <c r="N286" s="3" t="str">
        <f>IF(F286="","",F286*(1-Settings!$B$3))</f>
        <v/>
      </c>
      <c r="O286" s="3" t="str">
        <f>IF(E286="","",E286+Settings!$B$4)</f>
        <v/>
      </c>
      <c r="P286" s="3" t="str">
        <f t="shared" si="46"/>
        <v/>
      </c>
      <c r="Q286" s="3" t="str">
        <f t="shared" si="47"/>
        <v/>
      </c>
      <c r="R286" s="3" t="str">
        <f t="shared" ca="1" si="48"/>
        <v/>
      </c>
      <c r="S286" s="3" t="str">
        <f t="shared" ca="1" si="49"/>
        <v/>
      </c>
      <c r="T286" s="3" t="str">
        <f t="shared" si="50"/>
        <v/>
      </c>
      <c r="U286" s="3" t="str">
        <f t="shared" si="51"/>
        <v/>
      </c>
      <c r="V286" s="3" t="str">
        <f t="shared" si="52"/>
        <v/>
      </c>
      <c r="W286" s="3" t="str">
        <f t="shared" ca="1" si="53"/>
        <v/>
      </c>
      <c r="X286" s="3" t="str">
        <f t="shared" ca="1" si="54"/>
        <v/>
      </c>
      <c r="Y286" s="2"/>
    </row>
    <row r="287" spans="1:25">
      <c r="A287" s="3" t="str">
        <f t="shared" si="44"/>
        <v/>
      </c>
      <c r="B287" s="3" t="str">
        <f t="shared" si="45"/>
        <v/>
      </c>
      <c r="C287" s="2"/>
      <c r="D287" s="2"/>
      <c r="E287" s="2"/>
      <c r="F287" s="2"/>
      <c r="G287" s="2"/>
      <c r="H287" s="2"/>
      <c r="I287" s="2"/>
      <c r="J287" s="2"/>
      <c r="K287" s="2"/>
      <c r="L287" s="3" t="str">
        <f>IF(B287&lt;&gt;"Closed","",IF(K287&gt;=M287,"Target",IF(K287&lt;=N287,"Stop",IF(R287&gt;=Settings!$B$4,"Time","Manual"))))</f>
        <v/>
      </c>
      <c r="M287" s="3" t="str">
        <f>IF(F287="","",F287*(1+Settings!$B$2))</f>
        <v/>
      </c>
      <c r="N287" s="3" t="str">
        <f>IF(F287="","",F287*(1-Settings!$B$3))</f>
        <v/>
      </c>
      <c r="O287" s="3" t="str">
        <f>IF(E287="","",E287+Settings!$B$4)</f>
        <v/>
      </c>
      <c r="P287" s="3" t="str">
        <f t="shared" si="46"/>
        <v/>
      </c>
      <c r="Q287" s="3" t="str">
        <f t="shared" si="47"/>
        <v/>
      </c>
      <c r="R287" s="3" t="str">
        <f t="shared" ca="1" si="48"/>
        <v/>
      </c>
      <c r="S287" s="3" t="str">
        <f t="shared" ca="1" si="49"/>
        <v/>
      </c>
      <c r="T287" s="3" t="str">
        <f t="shared" si="50"/>
        <v/>
      </c>
      <c r="U287" s="3" t="str">
        <f t="shared" si="51"/>
        <v/>
      </c>
      <c r="V287" s="3" t="str">
        <f t="shared" si="52"/>
        <v/>
      </c>
      <c r="W287" s="3" t="str">
        <f t="shared" ca="1" si="53"/>
        <v/>
      </c>
      <c r="X287" s="3" t="str">
        <f t="shared" ca="1" si="54"/>
        <v/>
      </c>
      <c r="Y287" s="2"/>
    </row>
    <row r="288" spans="1:25">
      <c r="A288" s="3" t="str">
        <f t="shared" si="44"/>
        <v/>
      </c>
      <c r="B288" s="3" t="str">
        <f t="shared" si="45"/>
        <v/>
      </c>
      <c r="C288" s="2"/>
      <c r="D288" s="2"/>
      <c r="E288" s="2"/>
      <c r="F288" s="2"/>
      <c r="G288" s="2"/>
      <c r="H288" s="2"/>
      <c r="I288" s="2"/>
      <c r="J288" s="2"/>
      <c r="K288" s="2"/>
      <c r="L288" s="3" t="str">
        <f>IF(B288&lt;&gt;"Closed","",IF(K288&gt;=M288,"Target",IF(K288&lt;=N288,"Stop",IF(R288&gt;=Settings!$B$4,"Time","Manual"))))</f>
        <v/>
      </c>
      <c r="M288" s="3" t="str">
        <f>IF(F288="","",F288*(1+Settings!$B$2))</f>
        <v/>
      </c>
      <c r="N288" s="3" t="str">
        <f>IF(F288="","",F288*(1-Settings!$B$3))</f>
        <v/>
      </c>
      <c r="O288" s="3" t="str">
        <f>IF(E288="","",E288+Settings!$B$4)</f>
        <v/>
      </c>
      <c r="P288" s="3" t="str">
        <f t="shared" si="46"/>
        <v/>
      </c>
      <c r="Q288" s="3" t="str">
        <f t="shared" si="47"/>
        <v/>
      </c>
      <c r="R288" s="3" t="str">
        <f t="shared" ca="1" si="48"/>
        <v/>
      </c>
      <c r="S288" s="3" t="str">
        <f t="shared" ca="1" si="49"/>
        <v/>
      </c>
      <c r="T288" s="3" t="str">
        <f t="shared" si="50"/>
        <v/>
      </c>
      <c r="U288" s="3" t="str">
        <f t="shared" si="51"/>
        <v/>
      </c>
      <c r="V288" s="3" t="str">
        <f t="shared" si="52"/>
        <v/>
      </c>
      <c r="W288" s="3" t="str">
        <f t="shared" ca="1" si="53"/>
        <v/>
      </c>
      <c r="X288" s="3" t="str">
        <f t="shared" ca="1" si="54"/>
        <v/>
      </c>
      <c r="Y288" s="2"/>
    </row>
    <row r="289" spans="1:25">
      <c r="A289" s="3" t="str">
        <f t="shared" si="44"/>
        <v/>
      </c>
      <c r="B289" s="3" t="str">
        <f t="shared" si="45"/>
        <v/>
      </c>
      <c r="C289" s="2"/>
      <c r="D289" s="2"/>
      <c r="E289" s="2"/>
      <c r="F289" s="2"/>
      <c r="G289" s="2"/>
      <c r="H289" s="2"/>
      <c r="I289" s="2"/>
      <c r="J289" s="2"/>
      <c r="K289" s="2"/>
      <c r="L289" s="3" t="str">
        <f>IF(B289&lt;&gt;"Closed","",IF(K289&gt;=M289,"Target",IF(K289&lt;=N289,"Stop",IF(R289&gt;=Settings!$B$4,"Time","Manual"))))</f>
        <v/>
      </c>
      <c r="M289" s="3" t="str">
        <f>IF(F289="","",F289*(1+Settings!$B$2))</f>
        <v/>
      </c>
      <c r="N289" s="3" t="str">
        <f>IF(F289="","",F289*(1-Settings!$B$3))</f>
        <v/>
      </c>
      <c r="O289" s="3" t="str">
        <f>IF(E289="","",E289+Settings!$B$4)</f>
        <v/>
      </c>
      <c r="P289" s="3" t="str">
        <f t="shared" si="46"/>
        <v/>
      </c>
      <c r="Q289" s="3" t="str">
        <f t="shared" si="47"/>
        <v/>
      </c>
      <c r="R289" s="3" t="str">
        <f t="shared" ca="1" si="48"/>
        <v/>
      </c>
      <c r="S289" s="3" t="str">
        <f t="shared" ca="1" si="49"/>
        <v/>
      </c>
      <c r="T289" s="3" t="str">
        <f t="shared" si="50"/>
        <v/>
      </c>
      <c r="U289" s="3" t="str">
        <f t="shared" si="51"/>
        <v/>
      </c>
      <c r="V289" s="3" t="str">
        <f t="shared" si="52"/>
        <v/>
      </c>
      <c r="W289" s="3" t="str">
        <f t="shared" ca="1" si="53"/>
        <v/>
      </c>
      <c r="X289" s="3" t="str">
        <f t="shared" ca="1" si="54"/>
        <v/>
      </c>
      <c r="Y289" s="2"/>
    </row>
    <row r="290" spans="1:25">
      <c r="A290" s="3" t="str">
        <f t="shared" si="44"/>
        <v/>
      </c>
      <c r="B290" s="3" t="str">
        <f t="shared" si="45"/>
        <v/>
      </c>
      <c r="C290" s="2"/>
      <c r="D290" s="2"/>
      <c r="E290" s="2"/>
      <c r="F290" s="2"/>
      <c r="G290" s="2"/>
      <c r="H290" s="2"/>
      <c r="I290" s="2"/>
      <c r="J290" s="2"/>
      <c r="K290" s="2"/>
      <c r="L290" s="3" t="str">
        <f>IF(B290&lt;&gt;"Closed","",IF(K290&gt;=M290,"Target",IF(K290&lt;=N290,"Stop",IF(R290&gt;=Settings!$B$4,"Time","Manual"))))</f>
        <v/>
      </c>
      <c r="M290" s="3" t="str">
        <f>IF(F290="","",F290*(1+Settings!$B$2))</f>
        <v/>
      </c>
      <c r="N290" s="3" t="str">
        <f>IF(F290="","",F290*(1-Settings!$B$3))</f>
        <v/>
      </c>
      <c r="O290" s="3" t="str">
        <f>IF(E290="","",E290+Settings!$B$4)</f>
        <v/>
      </c>
      <c r="P290" s="3" t="str">
        <f t="shared" si="46"/>
        <v/>
      </c>
      <c r="Q290" s="3" t="str">
        <f t="shared" si="47"/>
        <v/>
      </c>
      <c r="R290" s="3" t="str">
        <f t="shared" ca="1" si="48"/>
        <v/>
      </c>
      <c r="S290" s="3" t="str">
        <f t="shared" ca="1" si="49"/>
        <v/>
      </c>
      <c r="T290" s="3" t="str">
        <f t="shared" si="50"/>
        <v/>
      </c>
      <c r="U290" s="3" t="str">
        <f t="shared" si="51"/>
        <v/>
      </c>
      <c r="V290" s="3" t="str">
        <f t="shared" si="52"/>
        <v/>
      </c>
      <c r="W290" s="3" t="str">
        <f t="shared" ca="1" si="53"/>
        <v/>
      </c>
      <c r="X290" s="3" t="str">
        <f t="shared" ca="1" si="54"/>
        <v/>
      </c>
      <c r="Y290" s="2"/>
    </row>
    <row r="291" spans="1:25">
      <c r="A291" s="3" t="str">
        <f t="shared" si="44"/>
        <v/>
      </c>
      <c r="B291" s="3" t="str">
        <f t="shared" si="45"/>
        <v/>
      </c>
      <c r="C291" s="2"/>
      <c r="D291" s="2"/>
      <c r="E291" s="2"/>
      <c r="F291" s="2"/>
      <c r="G291" s="2"/>
      <c r="H291" s="2"/>
      <c r="I291" s="2"/>
      <c r="J291" s="2"/>
      <c r="K291" s="2"/>
      <c r="L291" s="3" t="str">
        <f>IF(B291&lt;&gt;"Closed","",IF(K291&gt;=M291,"Target",IF(K291&lt;=N291,"Stop",IF(R291&gt;=Settings!$B$4,"Time","Manual"))))</f>
        <v/>
      </c>
      <c r="M291" s="3" t="str">
        <f>IF(F291="","",F291*(1+Settings!$B$2))</f>
        <v/>
      </c>
      <c r="N291" s="3" t="str">
        <f>IF(F291="","",F291*(1-Settings!$B$3))</f>
        <v/>
      </c>
      <c r="O291" s="3" t="str">
        <f>IF(E291="","",E291+Settings!$B$4)</f>
        <v/>
      </c>
      <c r="P291" s="3" t="str">
        <f t="shared" si="46"/>
        <v/>
      </c>
      <c r="Q291" s="3" t="str">
        <f t="shared" si="47"/>
        <v/>
      </c>
      <c r="R291" s="3" t="str">
        <f t="shared" ca="1" si="48"/>
        <v/>
      </c>
      <c r="S291" s="3" t="str">
        <f t="shared" ca="1" si="49"/>
        <v/>
      </c>
      <c r="T291" s="3" t="str">
        <f t="shared" si="50"/>
        <v/>
      </c>
      <c r="U291" s="3" t="str">
        <f t="shared" si="51"/>
        <v/>
      </c>
      <c r="V291" s="3" t="str">
        <f t="shared" si="52"/>
        <v/>
      </c>
      <c r="W291" s="3" t="str">
        <f t="shared" ca="1" si="53"/>
        <v/>
      </c>
      <c r="X291" s="3" t="str">
        <f t="shared" ca="1" si="54"/>
        <v/>
      </c>
      <c r="Y291" s="2"/>
    </row>
    <row r="292" spans="1:25">
      <c r="A292" s="3" t="str">
        <f t="shared" si="44"/>
        <v/>
      </c>
      <c r="B292" s="3" t="str">
        <f t="shared" si="45"/>
        <v/>
      </c>
      <c r="C292" s="2"/>
      <c r="D292" s="2"/>
      <c r="E292" s="2"/>
      <c r="F292" s="2"/>
      <c r="G292" s="2"/>
      <c r="H292" s="2"/>
      <c r="I292" s="2"/>
      <c r="J292" s="2"/>
      <c r="K292" s="2"/>
      <c r="L292" s="3" t="str">
        <f>IF(B292&lt;&gt;"Closed","",IF(K292&gt;=M292,"Target",IF(K292&lt;=N292,"Stop",IF(R292&gt;=Settings!$B$4,"Time","Manual"))))</f>
        <v/>
      </c>
      <c r="M292" s="3" t="str">
        <f>IF(F292="","",F292*(1+Settings!$B$2))</f>
        <v/>
      </c>
      <c r="N292" s="3" t="str">
        <f>IF(F292="","",F292*(1-Settings!$B$3))</f>
        <v/>
      </c>
      <c r="O292" s="3" t="str">
        <f>IF(E292="","",E292+Settings!$B$4)</f>
        <v/>
      </c>
      <c r="P292" s="3" t="str">
        <f t="shared" si="46"/>
        <v/>
      </c>
      <c r="Q292" s="3" t="str">
        <f t="shared" si="47"/>
        <v/>
      </c>
      <c r="R292" s="3" t="str">
        <f t="shared" ca="1" si="48"/>
        <v/>
      </c>
      <c r="S292" s="3" t="str">
        <f t="shared" ca="1" si="49"/>
        <v/>
      </c>
      <c r="T292" s="3" t="str">
        <f t="shared" si="50"/>
        <v/>
      </c>
      <c r="U292" s="3" t="str">
        <f t="shared" si="51"/>
        <v/>
      </c>
      <c r="V292" s="3" t="str">
        <f t="shared" si="52"/>
        <v/>
      </c>
      <c r="W292" s="3" t="str">
        <f t="shared" ca="1" si="53"/>
        <v/>
      </c>
      <c r="X292" s="3" t="str">
        <f t="shared" ca="1" si="54"/>
        <v/>
      </c>
      <c r="Y292" s="2"/>
    </row>
    <row r="293" spans="1:25">
      <c r="A293" s="3" t="str">
        <f t="shared" si="44"/>
        <v/>
      </c>
      <c r="B293" s="3" t="str">
        <f t="shared" si="45"/>
        <v/>
      </c>
      <c r="C293" s="2"/>
      <c r="D293" s="2"/>
      <c r="E293" s="2"/>
      <c r="F293" s="2"/>
      <c r="G293" s="2"/>
      <c r="H293" s="2"/>
      <c r="I293" s="2"/>
      <c r="J293" s="2"/>
      <c r="K293" s="2"/>
      <c r="L293" s="3" t="str">
        <f>IF(B293&lt;&gt;"Closed","",IF(K293&gt;=M293,"Target",IF(K293&lt;=N293,"Stop",IF(R293&gt;=Settings!$B$4,"Time","Manual"))))</f>
        <v/>
      </c>
      <c r="M293" s="3" t="str">
        <f>IF(F293="","",F293*(1+Settings!$B$2))</f>
        <v/>
      </c>
      <c r="N293" s="3" t="str">
        <f>IF(F293="","",F293*(1-Settings!$B$3))</f>
        <v/>
      </c>
      <c r="O293" s="3" t="str">
        <f>IF(E293="","",E293+Settings!$B$4)</f>
        <v/>
      </c>
      <c r="P293" s="3" t="str">
        <f t="shared" si="46"/>
        <v/>
      </c>
      <c r="Q293" s="3" t="str">
        <f t="shared" si="47"/>
        <v/>
      </c>
      <c r="R293" s="3" t="str">
        <f t="shared" ca="1" si="48"/>
        <v/>
      </c>
      <c r="S293" s="3" t="str">
        <f t="shared" ca="1" si="49"/>
        <v/>
      </c>
      <c r="T293" s="3" t="str">
        <f t="shared" si="50"/>
        <v/>
      </c>
      <c r="U293" s="3" t="str">
        <f t="shared" si="51"/>
        <v/>
      </c>
      <c r="V293" s="3" t="str">
        <f t="shared" si="52"/>
        <v/>
      </c>
      <c r="W293" s="3" t="str">
        <f t="shared" ca="1" si="53"/>
        <v/>
      </c>
      <c r="X293" s="3" t="str">
        <f t="shared" ca="1" si="54"/>
        <v/>
      </c>
      <c r="Y293" s="2"/>
    </row>
    <row r="294" spans="1:25">
      <c r="A294" s="3" t="str">
        <f t="shared" si="44"/>
        <v/>
      </c>
      <c r="B294" s="3" t="str">
        <f t="shared" si="45"/>
        <v/>
      </c>
      <c r="C294" s="2"/>
      <c r="D294" s="2"/>
      <c r="E294" s="2"/>
      <c r="F294" s="2"/>
      <c r="G294" s="2"/>
      <c r="H294" s="2"/>
      <c r="I294" s="2"/>
      <c r="J294" s="2"/>
      <c r="K294" s="2"/>
      <c r="L294" s="3" t="str">
        <f>IF(B294&lt;&gt;"Closed","",IF(K294&gt;=M294,"Target",IF(K294&lt;=N294,"Stop",IF(R294&gt;=Settings!$B$4,"Time","Manual"))))</f>
        <v/>
      </c>
      <c r="M294" s="3" t="str">
        <f>IF(F294="","",F294*(1+Settings!$B$2))</f>
        <v/>
      </c>
      <c r="N294" s="3" t="str">
        <f>IF(F294="","",F294*(1-Settings!$B$3))</f>
        <v/>
      </c>
      <c r="O294" s="3" t="str">
        <f>IF(E294="","",E294+Settings!$B$4)</f>
        <v/>
      </c>
      <c r="P294" s="3" t="str">
        <f t="shared" si="46"/>
        <v/>
      </c>
      <c r="Q294" s="3" t="str">
        <f t="shared" si="47"/>
        <v/>
      </c>
      <c r="R294" s="3" t="str">
        <f t="shared" ca="1" si="48"/>
        <v/>
      </c>
      <c r="S294" s="3" t="str">
        <f t="shared" ca="1" si="49"/>
        <v/>
      </c>
      <c r="T294" s="3" t="str">
        <f t="shared" si="50"/>
        <v/>
      </c>
      <c r="U294" s="3" t="str">
        <f t="shared" si="51"/>
        <v/>
      </c>
      <c r="V294" s="3" t="str">
        <f t="shared" si="52"/>
        <v/>
      </c>
      <c r="W294" s="3" t="str">
        <f t="shared" ca="1" si="53"/>
        <v/>
      </c>
      <c r="X294" s="3" t="str">
        <f t="shared" ca="1" si="54"/>
        <v/>
      </c>
      <c r="Y294" s="2"/>
    </row>
    <row r="295" spans="1:25">
      <c r="A295" s="3" t="str">
        <f t="shared" si="44"/>
        <v/>
      </c>
      <c r="B295" s="3" t="str">
        <f t="shared" si="45"/>
        <v/>
      </c>
      <c r="C295" s="2"/>
      <c r="D295" s="2"/>
      <c r="E295" s="2"/>
      <c r="F295" s="2"/>
      <c r="G295" s="2"/>
      <c r="H295" s="2"/>
      <c r="I295" s="2"/>
      <c r="J295" s="2"/>
      <c r="K295" s="2"/>
      <c r="L295" s="3" t="str">
        <f>IF(B295&lt;&gt;"Closed","",IF(K295&gt;=M295,"Target",IF(K295&lt;=N295,"Stop",IF(R295&gt;=Settings!$B$4,"Time","Manual"))))</f>
        <v/>
      </c>
      <c r="M295" s="3" t="str">
        <f>IF(F295="","",F295*(1+Settings!$B$2))</f>
        <v/>
      </c>
      <c r="N295" s="3" t="str">
        <f>IF(F295="","",F295*(1-Settings!$B$3))</f>
        <v/>
      </c>
      <c r="O295" s="3" t="str">
        <f>IF(E295="","",E295+Settings!$B$4)</f>
        <v/>
      </c>
      <c r="P295" s="3" t="str">
        <f t="shared" si="46"/>
        <v/>
      </c>
      <c r="Q295" s="3" t="str">
        <f t="shared" si="47"/>
        <v/>
      </c>
      <c r="R295" s="3" t="str">
        <f t="shared" ca="1" si="48"/>
        <v/>
      </c>
      <c r="S295" s="3" t="str">
        <f t="shared" ca="1" si="49"/>
        <v/>
      </c>
      <c r="T295" s="3" t="str">
        <f t="shared" si="50"/>
        <v/>
      </c>
      <c r="U295" s="3" t="str">
        <f t="shared" si="51"/>
        <v/>
      </c>
      <c r="V295" s="3" t="str">
        <f t="shared" si="52"/>
        <v/>
      </c>
      <c r="W295" s="3" t="str">
        <f t="shared" ca="1" si="53"/>
        <v/>
      </c>
      <c r="X295" s="3" t="str">
        <f t="shared" ca="1" si="54"/>
        <v/>
      </c>
      <c r="Y295" s="2"/>
    </row>
    <row r="296" spans="1:25">
      <c r="A296" s="3" t="str">
        <f t="shared" si="44"/>
        <v/>
      </c>
      <c r="B296" s="3" t="str">
        <f t="shared" si="45"/>
        <v/>
      </c>
      <c r="C296" s="2"/>
      <c r="D296" s="2"/>
      <c r="E296" s="2"/>
      <c r="F296" s="2"/>
      <c r="G296" s="2"/>
      <c r="H296" s="2"/>
      <c r="I296" s="2"/>
      <c r="J296" s="2"/>
      <c r="K296" s="2"/>
      <c r="L296" s="3" t="str">
        <f>IF(B296&lt;&gt;"Closed","",IF(K296&gt;=M296,"Target",IF(K296&lt;=N296,"Stop",IF(R296&gt;=Settings!$B$4,"Time","Manual"))))</f>
        <v/>
      </c>
      <c r="M296" s="3" t="str">
        <f>IF(F296="","",F296*(1+Settings!$B$2))</f>
        <v/>
      </c>
      <c r="N296" s="3" t="str">
        <f>IF(F296="","",F296*(1-Settings!$B$3))</f>
        <v/>
      </c>
      <c r="O296" s="3" t="str">
        <f>IF(E296="","",E296+Settings!$B$4)</f>
        <v/>
      </c>
      <c r="P296" s="3" t="str">
        <f t="shared" si="46"/>
        <v/>
      </c>
      <c r="Q296" s="3" t="str">
        <f t="shared" si="47"/>
        <v/>
      </c>
      <c r="R296" s="3" t="str">
        <f t="shared" ca="1" si="48"/>
        <v/>
      </c>
      <c r="S296" s="3" t="str">
        <f t="shared" ca="1" si="49"/>
        <v/>
      </c>
      <c r="T296" s="3" t="str">
        <f t="shared" si="50"/>
        <v/>
      </c>
      <c r="U296" s="3" t="str">
        <f t="shared" si="51"/>
        <v/>
      </c>
      <c r="V296" s="3" t="str">
        <f t="shared" si="52"/>
        <v/>
      </c>
      <c r="W296" s="3" t="str">
        <f t="shared" ca="1" si="53"/>
        <v/>
      </c>
      <c r="X296" s="3" t="str">
        <f t="shared" ca="1" si="54"/>
        <v/>
      </c>
      <c r="Y296" s="2"/>
    </row>
    <row r="297" spans="1:25">
      <c r="A297" s="3" t="str">
        <f t="shared" si="44"/>
        <v/>
      </c>
      <c r="B297" s="3" t="str">
        <f t="shared" si="45"/>
        <v/>
      </c>
      <c r="C297" s="2"/>
      <c r="D297" s="2"/>
      <c r="E297" s="2"/>
      <c r="F297" s="2"/>
      <c r="G297" s="2"/>
      <c r="H297" s="2"/>
      <c r="I297" s="2"/>
      <c r="J297" s="2"/>
      <c r="K297" s="2"/>
      <c r="L297" s="3" t="str">
        <f>IF(B297&lt;&gt;"Closed","",IF(K297&gt;=M297,"Target",IF(K297&lt;=N297,"Stop",IF(R297&gt;=Settings!$B$4,"Time","Manual"))))</f>
        <v/>
      </c>
      <c r="M297" s="3" t="str">
        <f>IF(F297="","",F297*(1+Settings!$B$2))</f>
        <v/>
      </c>
      <c r="N297" s="3" t="str">
        <f>IF(F297="","",F297*(1-Settings!$B$3))</f>
        <v/>
      </c>
      <c r="O297" s="3" t="str">
        <f>IF(E297="","",E297+Settings!$B$4)</f>
        <v/>
      </c>
      <c r="P297" s="3" t="str">
        <f t="shared" si="46"/>
        <v/>
      </c>
      <c r="Q297" s="3" t="str">
        <f t="shared" si="47"/>
        <v/>
      </c>
      <c r="R297" s="3" t="str">
        <f t="shared" ca="1" si="48"/>
        <v/>
      </c>
      <c r="S297" s="3" t="str">
        <f t="shared" ca="1" si="49"/>
        <v/>
      </c>
      <c r="T297" s="3" t="str">
        <f t="shared" si="50"/>
        <v/>
      </c>
      <c r="U297" s="3" t="str">
        <f t="shared" si="51"/>
        <v/>
      </c>
      <c r="V297" s="3" t="str">
        <f t="shared" si="52"/>
        <v/>
      </c>
      <c r="W297" s="3" t="str">
        <f t="shared" ca="1" si="53"/>
        <v/>
      </c>
      <c r="X297" s="3" t="str">
        <f t="shared" ca="1" si="54"/>
        <v/>
      </c>
      <c r="Y297" s="2"/>
    </row>
    <row r="298" spans="1:25">
      <c r="A298" s="3" t="str">
        <f t="shared" si="44"/>
        <v/>
      </c>
      <c r="B298" s="3" t="str">
        <f t="shared" si="45"/>
        <v/>
      </c>
      <c r="C298" s="2"/>
      <c r="D298" s="2"/>
      <c r="E298" s="2"/>
      <c r="F298" s="2"/>
      <c r="G298" s="2"/>
      <c r="H298" s="2"/>
      <c r="I298" s="2"/>
      <c r="J298" s="2"/>
      <c r="K298" s="2"/>
      <c r="L298" s="3" t="str">
        <f>IF(B298&lt;&gt;"Closed","",IF(K298&gt;=M298,"Target",IF(K298&lt;=N298,"Stop",IF(R298&gt;=Settings!$B$4,"Time","Manual"))))</f>
        <v/>
      </c>
      <c r="M298" s="3" t="str">
        <f>IF(F298="","",F298*(1+Settings!$B$2))</f>
        <v/>
      </c>
      <c r="N298" s="3" t="str">
        <f>IF(F298="","",F298*(1-Settings!$B$3))</f>
        <v/>
      </c>
      <c r="O298" s="3" t="str">
        <f>IF(E298="","",E298+Settings!$B$4)</f>
        <v/>
      </c>
      <c r="P298" s="3" t="str">
        <f t="shared" si="46"/>
        <v/>
      </c>
      <c r="Q298" s="3" t="str">
        <f t="shared" si="47"/>
        <v/>
      </c>
      <c r="R298" s="3" t="str">
        <f t="shared" ca="1" si="48"/>
        <v/>
      </c>
      <c r="S298" s="3" t="str">
        <f t="shared" ca="1" si="49"/>
        <v/>
      </c>
      <c r="T298" s="3" t="str">
        <f t="shared" si="50"/>
        <v/>
      </c>
      <c r="U298" s="3" t="str">
        <f t="shared" si="51"/>
        <v/>
      </c>
      <c r="V298" s="3" t="str">
        <f t="shared" si="52"/>
        <v/>
      </c>
      <c r="W298" s="3" t="str">
        <f t="shared" ca="1" si="53"/>
        <v/>
      </c>
      <c r="X298" s="3" t="str">
        <f t="shared" ca="1" si="54"/>
        <v/>
      </c>
      <c r="Y298" s="2"/>
    </row>
    <row r="299" spans="1:25">
      <c r="A299" s="3" t="str">
        <f t="shared" si="44"/>
        <v/>
      </c>
      <c r="B299" s="3" t="str">
        <f t="shared" si="45"/>
        <v/>
      </c>
      <c r="C299" s="2"/>
      <c r="D299" s="2"/>
      <c r="E299" s="2"/>
      <c r="F299" s="2"/>
      <c r="G299" s="2"/>
      <c r="H299" s="2"/>
      <c r="I299" s="2"/>
      <c r="J299" s="2"/>
      <c r="K299" s="2"/>
      <c r="L299" s="3" t="str">
        <f>IF(B299&lt;&gt;"Closed","",IF(K299&gt;=M299,"Target",IF(K299&lt;=N299,"Stop",IF(R299&gt;=Settings!$B$4,"Time","Manual"))))</f>
        <v/>
      </c>
      <c r="M299" s="3" t="str">
        <f>IF(F299="","",F299*(1+Settings!$B$2))</f>
        <v/>
      </c>
      <c r="N299" s="3" t="str">
        <f>IF(F299="","",F299*(1-Settings!$B$3))</f>
        <v/>
      </c>
      <c r="O299" s="3" t="str">
        <f>IF(E299="","",E299+Settings!$B$4)</f>
        <v/>
      </c>
      <c r="P299" s="3" t="str">
        <f t="shared" si="46"/>
        <v/>
      </c>
      <c r="Q299" s="3" t="str">
        <f t="shared" si="47"/>
        <v/>
      </c>
      <c r="R299" s="3" t="str">
        <f t="shared" ca="1" si="48"/>
        <v/>
      </c>
      <c r="S299" s="3" t="str">
        <f t="shared" ca="1" si="49"/>
        <v/>
      </c>
      <c r="T299" s="3" t="str">
        <f t="shared" si="50"/>
        <v/>
      </c>
      <c r="U299" s="3" t="str">
        <f t="shared" si="51"/>
        <v/>
      </c>
      <c r="V299" s="3" t="str">
        <f t="shared" si="52"/>
        <v/>
      </c>
      <c r="W299" s="3" t="str">
        <f t="shared" ca="1" si="53"/>
        <v/>
      </c>
      <c r="X299" s="3" t="str">
        <f t="shared" ca="1" si="54"/>
        <v/>
      </c>
      <c r="Y299" s="2"/>
    </row>
    <row r="300" spans="1:25">
      <c r="A300" s="3" t="str">
        <f t="shared" si="44"/>
        <v/>
      </c>
      <c r="B300" s="3" t="str">
        <f t="shared" si="45"/>
        <v/>
      </c>
      <c r="C300" s="2"/>
      <c r="D300" s="2"/>
      <c r="E300" s="2"/>
      <c r="F300" s="2"/>
      <c r="G300" s="2"/>
      <c r="H300" s="2"/>
      <c r="I300" s="2"/>
      <c r="J300" s="2"/>
      <c r="K300" s="2"/>
      <c r="L300" s="3" t="str">
        <f>IF(B300&lt;&gt;"Closed","",IF(K300&gt;=M300,"Target",IF(K300&lt;=N300,"Stop",IF(R300&gt;=Settings!$B$4,"Time","Manual"))))</f>
        <v/>
      </c>
      <c r="M300" s="3" t="str">
        <f>IF(F300="","",F300*(1+Settings!$B$2))</f>
        <v/>
      </c>
      <c r="N300" s="3" t="str">
        <f>IF(F300="","",F300*(1-Settings!$B$3))</f>
        <v/>
      </c>
      <c r="O300" s="3" t="str">
        <f>IF(E300="","",E300+Settings!$B$4)</f>
        <v/>
      </c>
      <c r="P300" s="3" t="str">
        <f t="shared" si="46"/>
        <v/>
      </c>
      <c r="Q300" s="3" t="str">
        <f t="shared" si="47"/>
        <v/>
      </c>
      <c r="R300" s="3" t="str">
        <f t="shared" ca="1" si="48"/>
        <v/>
      </c>
      <c r="S300" s="3" t="str">
        <f t="shared" ca="1" si="49"/>
        <v/>
      </c>
      <c r="T300" s="3" t="str">
        <f t="shared" si="50"/>
        <v/>
      </c>
      <c r="U300" s="3" t="str">
        <f t="shared" si="51"/>
        <v/>
      </c>
      <c r="V300" s="3" t="str">
        <f t="shared" si="52"/>
        <v/>
      </c>
      <c r="W300" s="3" t="str">
        <f t="shared" ca="1" si="53"/>
        <v/>
      </c>
      <c r="X300" s="3" t="str">
        <f t="shared" ca="1" si="54"/>
        <v/>
      </c>
      <c r="Y300" s="2"/>
    </row>
    <row r="301" spans="1:25">
      <c r="A301" s="3" t="str">
        <f t="shared" si="44"/>
        <v/>
      </c>
      <c r="B301" s="3" t="str">
        <f t="shared" si="45"/>
        <v/>
      </c>
      <c r="C301" s="2"/>
      <c r="D301" s="2"/>
      <c r="E301" s="2"/>
      <c r="F301" s="2"/>
      <c r="G301" s="2"/>
      <c r="H301" s="2"/>
      <c r="I301" s="2"/>
      <c r="J301" s="2"/>
      <c r="K301" s="2"/>
      <c r="L301" s="3" t="str">
        <f>IF(B301&lt;&gt;"Closed","",IF(K301&gt;=M301,"Target",IF(K301&lt;=N301,"Stop",IF(R301&gt;=Settings!$B$4,"Time","Manual"))))</f>
        <v/>
      </c>
      <c r="M301" s="3" t="str">
        <f>IF(F301="","",F301*(1+Settings!$B$2))</f>
        <v/>
      </c>
      <c r="N301" s="3" t="str">
        <f>IF(F301="","",F301*(1-Settings!$B$3))</f>
        <v/>
      </c>
      <c r="O301" s="3" t="str">
        <f>IF(E301="","",E301+Settings!$B$4)</f>
        <v/>
      </c>
      <c r="P301" s="3" t="str">
        <f t="shared" si="46"/>
        <v/>
      </c>
      <c r="Q301" s="3" t="str">
        <f t="shared" si="47"/>
        <v/>
      </c>
      <c r="R301" s="3" t="str">
        <f t="shared" ca="1" si="48"/>
        <v/>
      </c>
      <c r="S301" s="3" t="str">
        <f t="shared" ca="1" si="49"/>
        <v/>
      </c>
      <c r="T301" s="3" t="str">
        <f t="shared" si="50"/>
        <v/>
      </c>
      <c r="U301" s="3" t="str">
        <f t="shared" si="51"/>
        <v/>
      </c>
      <c r="V301" s="3" t="str">
        <f t="shared" si="52"/>
        <v/>
      </c>
      <c r="W301" s="3" t="str">
        <f t="shared" ca="1" si="53"/>
        <v/>
      </c>
      <c r="X301" s="3" t="str">
        <f t="shared" ca="1" si="54"/>
        <v/>
      </c>
      <c r="Y301" s="2"/>
    </row>
  </sheetData>
  <conditionalFormatting sqref="B2:B301">
    <cfRule type="expression" dxfId="5" priority="6">
      <formula>$B2="Closed"</formula>
    </cfRule>
  </conditionalFormatting>
  <conditionalFormatting sqref="Q2:Q301">
    <cfRule type="cellIs" dxfId="4" priority="4" operator="greaterThanOrEqual">
      <formula>0.05</formula>
    </cfRule>
    <cfRule type="cellIs" dxfId="3" priority="5" operator="lessThanOrEqual">
      <formula>-0.07</formula>
    </cfRule>
  </conditionalFormatting>
  <conditionalFormatting sqref="W2:W301">
    <cfRule type="expression" dxfId="2" priority="1">
      <formula>LEFT($W2,4)="SELL"</formula>
    </cfRule>
    <cfRule type="expression" dxfId="1" priority="2">
      <formula>$W2="HOLD"</formula>
    </cfRule>
    <cfRule type="expression" dxfId="0" priority="3">
      <formula>$W2="CLOSED"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sqref="A1:C1"/>
    </sheetView>
  </sheetViews>
  <sheetFormatPr defaultRowHeight="14.25"/>
  <cols>
    <col min="1" max="1" width="25.75" customWidth="1"/>
    <col min="2" max="2" width="6.75" customWidth="1"/>
    <col min="3" max="3" width="31.25" customWidth="1"/>
  </cols>
  <sheetData>
    <row r="1" spans="1:3" ht="18">
      <c r="A1" s="14" t="s">
        <v>25</v>
      </c>
      <c r="B1" s="15"/>
      <c r="C1" s="15"/>
    </row>
    <row r="2" spans="1:3" ht="15">
      <c r="A2" s="9" t="s">
        <v>26</v>
      </c>
      <c r="B2" s="9" t="s">
        <v>27</v>
      </c>
      <c r="C2" s="9" t="s">
        <v>24</v>
      </c>
    </row>
    <row r="3" spans="1:3">
      <c r="A3" t="s">
        <v>28</v>
      </c>
      <c r="B3">
        <f>COUNTIF('Trade Log'!B:B,"Open")</f>
        <v>0</v>
      </c>
      <c r="C3" t="s">
        <v>29</v>
      </c>
    </row>
    <row r="4" spans="1:3">
      <c r="A4" t="s">
        <v>30</v>
      </c>
      <c r="B4">
        <f>COUNTIF('Trade Log'!B:B,"Closed")</f>
        <v>0</v>
      </c>
      <c r="C4" t="s">
        <v>31</v>
      </c>
    </row>
    <row r="5" spans="1:3">
      <c r="A5" t="s">
        <v>32</v>
      </c>
      <c r="B5">
        <f ca="1">COUNTIF('Trade Log'!W:W,"SELL*")</f>
        <v>0</v>
      </c>
      <c r="C5" t="s">
        <v>33</v>
      </c>
    </row>
    <row r="6" spans="1:3">
      <c r="A6" t="s">
        <v>34</v>
      </c>
      <c r="B6" s="10">
        <f>SUMIFS('Trade Log'!V:V,'Trade Log'!B:B,"Closed")</f>
        <v>0</v>
      </c>
      <c r="C6" t="s">
        <v>35</v>
      </c>
    </row>
    <row r="7" spans="1:3">
      <c r="A7" t="s">
        <v>36</v>
      </c>
      <c r="B7" s="10">
        <f>SUMIFS('Trade Log'!V:V,'Trade Log'!B:B,"Open")</f>
        <v>0</v>
      </c>
      <c r="C7" t="s">
        <v>37</v>
      </c>
    </row>
    <row r="8" spans="1:3">
      <c r="A8" t="s">
        <v>38</v>
      </c>
      <c r="B8" s="11" t="str">
        <f>IFERROR(AVERAGEIFS('Trade Log'!Q:Q,'Trade Log'!B:B,"Closed"),"")</f>
        <v/>
      </c>
      <c r="C8" t="s">
        <v>35</v>
      </c>
    </row>
    <row r="9" spans="1:3">
      <c r="A9" t="s">
        <v>39</v>
      </c>
      <c r="B9" s="11" t="str">
        <f>IFERROR(COUNTIFS('Trade Log'!B:B,"Closed",'Trade Log'!Q:Q,"&gt;0")/COUNTIF('Trade Log'!B:B,"Closed"),"")</f>
        <v/>
      </c>
      <c r="C9" t="s">
        <v>40</v>
      </c>
    </row>
    <row r="10" spans="1:3">
      <c r="A10" t="s">
        <v>41</v>
      </c>
      <c r="B10">
        <f>COUNTIFS('Trade Log'!B:B,"Closed",'Trade Log'!L:L,"Target")</f>
        <v>0</v>
      </c>
      <c r="C10" t="s">
        <v>42</v>
      </c>
    </row>
    <row r="11" spans="1:3">
      <c r="A11" t="s">
        <v>43</v>
      </c>
      <c r="B11">
        <f>COUNTIFS('Trade Log'!B:B,"Closed",'Trade Log'!L:L,"Stop")</f>
        <v>0</v>
      </c>
      <c r="C11" t="s">
        <v>44</v>
      </c>
    </row>
    <row r="12" spans="1:3">
      <c r="A12" t="s">
        <v>45</v>
      </c>
      <c r="B12">
        <f>COUNTIFS('Trade Log'!B:B,"Closed",'Trade Log'!L:L,"Time")</f>
        <v>0</v>
      </c>
      <c r="C12" t="s">
        <v>46</v>
      </c>
    </row>
    <row r="13" spans="1:3">
      <c r="A13" t="s">
        <v>47</v>
      </c>
      <c r="B13" s="12" t="str">
        <f>IFERROR(AVERAGEIFS('Trade Log'!R:R,'Trade Log'!B:B,"Closed"),"")</f>
        <v/>
      </c>
      <c r="C13" t="s">
        <v>35</v>
      </c>
    </row>
    <row r="14" spans="1:3">
      <c r="A14" t="s">
        <v>48</v>
      </c>
      <c r="B14" s="10">
        <f>SUMIFS('Trade Log'!T:T,'Trade Log'!B:B,"Open")</f>
        <v>0</v>
      </c>
      <c r="C14" t="s">
        <v>49</v>
      </c>
    </row>
    <row r="15" spans="1:3">
      <c r="A15" t="s">
        <v>50</v>
      </c>
      <c r="B15" s="10">
        <f>Settings!B5</f>
        <v>10</v>
      </c>
      <c r="C15" t="s">
        <v>51</v>
      </c>
    </row>
    <row r="16" spans="1:3">
      <c r="A16" t="s">
        <v>52</v>
      </c>
      <c r="B16" s="10">
        <f>Settings!B7</f>
        <v>0</v>
      </c>
      <c r="C16" t="s">
        <v>53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5" sqref="C5"/>
    </sheetView>
  </sheetViews>
  <sheetFormatPr defaultRowHeight="14.25"/>
  <cols>
    <col min="1" max="1" width="21" customWidth="1"/>
    <col min="2" max="2" width="4.875" customWidth="1"/>
    <col min="3" max="3" width="38.5" customWidth="1"/>
  </cols>
  <sheetData>
    <row r="1" spans="1:3" ht="15">
      <c r="A1" s="9" t="s">
        <v>54</v>
      </c>
      <c r="B1" s="9" t="s">
        <v>27</v>
      </c>
      <c r="C1" s="9" t="s">
        <v>24</v>
      </c>
    </row>
    <row r="2" spans="1:3">
      <c r="A2" t="s">
        <v>55</v>
      </c>
      <c r="B2" s="11">
        <v>0.05</v>
      </c>
      <c r="C2" t="s">
        <v>56</v>
      </c>
    </row>
    <row r="3" spans="1:3">
      <c r="A3" t="s">
        <v>57</v>
      </c>
      <c r="B3" s="11">
        <v>0.05</v>
      </c>
      <c r="C3" t="s">
        <v>73</v>
      </c>
    </row>
    <row r="4" spans="1:3">
      <c r="A4" t="s">
        <v>58</v>
      </c>
      <c r="B4">
        <v>20</v>
      </c>
      <c r="C4" t="s">
        <v>59</v>
      </c>
    </row>
    <row r="5" spans="1:3">
      <c r="A5" t="s">
        <v>60</v>
      </c>
      <c r="B5">
        <v>10</v>
      </c>
      <c r="C5" t="s">
        <v>61</v>
      </c>
    </row>
    <row r="6" spans="1:3">
      <c r="A6" t="s">
        <v>62</v>
      </c>
      <c r="B6" s="11">
        <v>5.0000000000000001E-3</v>
      </c>
      <c r="C6" t="s">
        <v>63</v>
      </c>
    </row>
    <row r="7" spans="1:3">
      <c r="A7" t="s">
        <v>64</v>
      </c>
      <c r="B7" s="10"/>
      <c r="C7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tabSelected="1" workbookViewId="0">
      <selection activeCell="A8" sqref="A8"/>
    </sheetView>
  </sheetViews>
  <sheetFormatPr defaultRowHeight="14.25"/>
  <cols>
    <col min="1" max="1" width="110" customWidth="1"/>
  </cols>
  <sheetData>
    <row r="1" spans="1:1" ht="18">
      <c r="A1" s="13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5" spans="1:1">
      <c r="A5" t="s">
        <v>70</v>
      </c>
    </row>
    <row r="6" spans="1:1">
      <c r="A6" t="s">
        <v>71</v>
      </c>
    </row>
    <row r="7" spans="1:1">
      <c r="A7" t="s">
        <v>74</v>
      </c>
    </row>
    <row r="8" spans="1:1">
      <c r="A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Log</vt:lpstr>
      <vt:lpstr>Dashboard</vt:lpstr>
      <vt:lpstr>Settings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Ye, Xiaomeng</cp:lastModifiedBy>
  <dcterms:modified xsi:type="dcterms:W3CDTF">2026-05-08T15:19:45Z</dcterms:modified>
</cp:coreProperties>
</file>